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 &amp; KARAR" sheetId="1" state="visible" r:id="rId3"/>
    <sheet name="AYLIK İSTİHDAM PLANI" sheetId="2" state="visible" r:id="rId4"/>
    <sheet name="SENARYO BAZ-AGRESİF" sheetId="3" state="visible" r:id="rId5"/>
    <sheet name="İVME &amp; PAZAR PAYI" sheetId="4" state="visible" r:id="rId6"/>
    <sheet name="AI KALDIRAÇ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<sst xmlns="http://schemas.openxmlformats.org/spreadsheetml/2006/main" count="130" uniqueCount="120">
  <si>
    <t xml:space="preserve">ARSAM.NET / ParselQ — İSTİHDAM İVME PLANI (v2)</t>
  </si>
  <si>
    <t xml:space="preserve">Soru: İstihdam ne kadar agresif başlarsa (2026–2027) erken pazar payı ve ivme ne kadar artar? Her ay hangi istihdam ivme yaratır?</t>
  </si>
  <si>
    <t xml:space="preserve">revizyon v3.1 · 2026-06-22 · canon: kadro 38→256 (AGRESİF/sola-kaydır, canlıya alındı), 2032 hedef pay %35 (online arsa)</t>
  </si>
  <si>
    <t xml:space="preserve">KISA CEVAP</t>
  </si>
  <si>
    <t xml:space="preserve">1) Doğru istihdamı öne çekmek erken payı yükseltir ve S-eğrisini SOLA kaydırır (tavana erken ulaşırsın).</t>
  </si>
  <si>
    <t xml:space="preserve">2) Ama 'çarpan ileride hızlanır' tezi terstir: çarpan erkende en yüksek (2027: 6,0x), tavana yaklaşınca düşer (2032: 1,13x).</t>
  </si>
  <si>
    <t xml:space="preserve">3) Bileşik kaldıraç bordro DEĞİL, pazaryeri likiditesidir. En yüksek getiri: Saha Keşif'i (arz) öne çekmek.</t>
  </si>
  <si>
    <t xml:space="preserve">4) Sınır: 40M ₺ nakit dibi ve %35 SOM tavanı (121 milyar ₺). Tavan üstüne işe alım sıfır pay getirir.</t>
  </si>
  <si>
    <t xml:space="preserve">KANONİK ÇIPALAR</t>
  </si>
  <si>
    <t xml:space="preserve">DEĞER</t>
  </si>
  <si>
    <t xml:space="preserve">Kadro eğrisi (2026→2031)</t>
  </si>
  <si>
    <t xml:space="preserve">38 → 92 → 140 → 185 → 225 → 256</t>
  </si>
  <si>
    <t xml:space="preserve">2032 hedef pazar payı (online arsa, SAM)</t>
  </si>
  <si>
    <t xml:space="preserve">%35</t>
  </si>
  <si>
    <t xml:space="preserve">SOM (pay tavanı) = SAM 346 mlr × %35</t>
  </si>
  <si>
    <t xml:space="preserve">121,1 milyar ₺</t>
  </si>
  <si>
    <t xml:space="preserve">2032 gelir (medyan)</t>
  </si>
  <si>
    <t xml:space="preserve">5,5 milyar ₺</t>
  </si>
  <si>
    <t xml:space="preserve">Başlangıç sermayesi / kasa dibi (2026 H2)</t>
  </si>
  <si>
    <t xml:space="preserve">40 milyon ₺ / ~32,2 milyon ₺</t>
  </si>
  <si>
    <t xml:space="preserve">KARAR ÇERÇEVESİ</t>
  </si>
  <si>
    <t xml:space="preserve">AÇIKLAMA</t>
  </si>
  <si>
    <t xml:space="preserve">Güvenli</t>
  </si>
  <si>
    <t xml:space="preserve">Canon eğride kal, kompozisyonu arz-önce sırala (bkz. AYLIK İSTİHDAM PLANI). Risk düşük; eğri sola kayar.</t>
  </si>
  <si>
    <t xml:space="preserve">Riskli</t>
  </si>
  <si>
    <t xml:space="preserve">Eğriyi yukarı çek (agresif, bkz. SENARYO). Getiri: medyan→iyimser (%35→%42); risk: nakit/likidite/kalite.</t>
  </si>
  <si>
    <t xml:space="preserve">Enterprise doğru</t>
  </si>
  <si>
    <t xml:space="preserve">Metrik-tetikli kapı: yeni saha kadrosu/ilçe ancak likidite eşiği+CAC tutunca onaylanır. Bütçe+insan onayı.</t>
  </si>
  <si>
    <t xml:space="preserve">Pratik öneri (senin durumun)</t>
  </si>
  <si>
    <t xml:space="preserve">Önce güvenli varyant: Ege ilçelerinde Saha Keşif'i öne çek, Saha Satış'ı likiditeye bağla, nakit dibini 40M içinde tut.</t>
  </si>
  <si>
    <t xml:space="preserve">AYLIK İSTİHDAM PLANI — kümülatif kadro (fonksiyon × dönem), arz-önce sıralı</t>
  </si>
  <si>
    <t xml:space="preserve">2026 aylık · 2027 çeyreklik · 2028–2031 yıl sonu. Sütun toplamları canon kadro eğrisine eşittir. Hücreler = o dönem sonu kümülatif kişi.</t>
  </si>
  <si>
    <t xml:space="preserve">Fonksiyon</t>
  </si>
  <si>
    <t xml:space="preserve">Ağu 26</t>
  </si>
  <si>
    <t xml:space="preserve">Eyl 26</t>
  </si>
  <si>
    <t xml:space="preserve">Eki 26</t>
  </si>
  <si>
    <t xml:space="preserve">Kas 26</t>
  </si>
  <si>
    <t xml:space="preserve">Ara 26</t>
  </si>
  <si>
    <t xml:space="preserve">2027 Ç1</t>
  </si>
  <si>
    <t xml:space="preserve">2027 Ç2</t>
  </si>
  <si>
    <t xml:space="preserve">2027 Ç3</t>
  </si>
  <si>
    <t xml:space="preserve">2027 Ç4</t>
  </si>
  <si>
    <t xml:space="preserve">2028</t>
  </si>
  <si>
    <t xml:space="preserve">2029</t>
  </si>
  <si>
    <t xml:space="preserve">2030</t>
  </si>
  <si>
    <t xml:space="preserve">2031</t>
  </si>
  <si>
    <t xml:space="preserve">Saha Keşif (araçlı)</t>
  </si>
  <si>
    <t xml:space="preserve">Saha Satış (araçlı)</t>
  </si>
  <si>
    <t xml:space="preserve">ParselQ RFQ / Moderasyon</t>
  </si>
  <si>
    <t xml:space="preserve">Satıcı &amp; Müşteri Ops</t>
  </si>
  <si>
    <t xml:space="preserve">Mühendislik</t>
  </si>
  <si>
    <t xml:space="preserve">AI / Veri</t>
  </si>
  <si>
    <t xml:space="preserve">Ürün &amp; Tasarım</t>
  </si>
  <si>
    <t xml:space="preserve">Pazarlama &amp; Büyüme</t>
  </si>
  <si>
    <t xml:space="preserve">Finans &amp; Hukuk</t>
  </si>
  <si>
    <t xml:space="preserve">İK &amp; İdari</t>
  </si>
  <si>
    <t xml:space="preserve">Liderlik / C-Suite</t>
  </si>
  <si>
    <t xml:space="preserve">TOPLAM (= canon)</t>
  </si>
  <si>
    <t xml:space="preserve">CANON HEDEF</t>
  </si>
  <si>
    <t xml:space="preserve">Kontrol</t>
  </si>
  <si>
    <t xml:space="preserve">Net işe alım (dönem)</t>
  </si>
  <si>
    <t xml:space="preserve">Sıralama mantığı (cold-start): önce ürün çekirdeği (Ağu 26: Müh+AI+Ürün+Liderlik), sonra ARZ (Saha Keşif), sonra TALEP/PARA (RFQ + Saha Satış), en son ölçek-destek.</t>
  </si>
  <si>
    <t xml:space="preserve">Yeşil satırlar = pazaryeri likiditesini doğrudan üreten roller (arz/talep). En yüksek erken kaldıraç buradadır.</t>
  </si>
  <si>
    <t xml:space="preserve">Saha Satış, bir ilçede arz likidite eşiği tutunca devreye girer (Kas 26'dan). Sıra bozulursa satış ekibi atıl kalır.</t>
  </si>
  <si>
    <t xml:space="preserve">C-Level zamanlaması (master): CPO 01.08.2026 · CAIO 01.02.2027 · CMO/CRO 01.07.2027 · CFO 01.02.2028 (Liderlik satırına gömülü).</t>
  </si>
  <si>
    <t xml:space="preserve">2031 fonksiyon dağılımı canon departmentsFinal2031 ile birebirdir (Saha 88, RFQ 32, ... toplam 256).</t>
  </si>
  <si>
    <t xml:space="preserve">SENARYO — BAZ (canon) vs AGRESİF (öne-yüklü). Aynı 2031=256 hedefi, farklı hız.</t>
  </si>
  <si>
    <t xml:space="preserve">Mavi hücreler = senaryo girdisi (değiştirilebilir). Maliyetler gösterge/üst-sınırdır; ramp trapez yaklaşımı.</t>
  </si>
  <si>
    <t xml:space="preserve">Kalem</t>
  </si>
  <si>
    <t xml:space="preserve">2026</t>
  </si>
  <si>
    <t xml:space="preserve">2027</t>
  </si>
  <si>
    <t xml:space="preserve">Kadro — ÖNCEKİ (muhafazakâr)</t>
  </si>
  <si>
    <t xml:space="preserve">Kadro — UYGULANAN (agresif canon)</t>
  </si>
  <si>
    <t xml:space="preserve">Ek kadro (dönem sonu)</t>
  </si>
  <si>
    <t xml:space="preserve">Yıl içi ay sayısı</t>
  </si>
  <si>
    <t xml:space="preserve">Ek kişi-ay (trapez)</t>
  </si>
  <si>
    <t xml:space="preserve">Ort. aylık maaş (₺)</t>
  </si>
  <si>
    <t xml:space="preserve">İşveren yük çarpanı</t>
  </si>
  <si>
    <t xml:space="preserve">Yüklü aylık maliyet (₺)</t>
  </si>
  <si>
    <t xml:space="preserve">Ek bordro maliyeti (₺, gösterge)</t>
  </si>
  <si>
    <t xml:space="preserve">2026 H2 kasa dibi — BAZ (₺)</t>
  </si>
  <si>
    <t xml:space="preserve">2026 H2 kasa dibi — UYGULANAN ≈ (₺)</t>
  </si>
  <si>
    <t xml:space="preserve">40M ₺ sermaye içinde mi?</t>
  </si>
  <si>
    <t xml:space="preserve">Yorum: Agresif varyant 2031 hedefini değiştirmez; eğriyi öne çeker. Getiri eğriyi sola kaydırmak / medyandan iyimsere (%35→%42) geçme şansıdır. Maliyet erken nakit yastığıdır; ölçülü agresif (yukarıdaki girdiler) 40M içinde kalır.</t>
  </si>
  <si>
    <t xml:space="preserve">İVME &amp; PAZAR PAYI — pay neden bir S-eğrisidir; çarpan neden erken yüksek, geç düşük</t>
  </si>
  <si>
    <t xml:space="preserve">Medyan senaryo. Pay = online arsa (SAM) içindeki hedef pay. Çarpan = YoY oran; +puan = yılda eklenen mutlak pay puanı.</t>
  </si>
  <si>
    <t xml:space="preserve">Yıl</t>
  </si>
  <si>
    <t xml:space="preserve">Pay (SAM)</t>
  </si>
  <si>
    <t xml:space="preserve">YoY pay çarpanı</t>
  </si>
  <si>
    <t xml:space="preserve">Yılda +puan</t>
  </si>
  <si>
    <t xml:space="preserve">Gelir (milyon ₺)</t>
  </si>
  <si>
    <t xml:space="preserve">YoY gelir çarpanı</t>
  </si>
  <si>
    <t xml:space="preserve">İyimser senaryo payı (tavan %42)</t>
  </si>
  <si>
    <t xml:space="preserve">2026 H2</t>
  </si>
  <si>
    <t xml:space="preserve">—</t>
  </si>
  <si>
    <t xml:space="preserve">2032</t>
  </si>
  <si>
    <t xml:space="preserve">Çarpan (3. sütun) erkende en yüksektir (2027 ≈ 6,4x) ve tavana (%35) yaklaştıkça düşer (2032 ≈ 1,07x). 'İleride hızlanma' yoktur.</t>
  </si>
  <si>
    <t xml:space="preserve">Mutlak ivme (4. sütun) ~2029'da zirve yapar: eğrinin en dik bölgesi. Agresif/sola-kaydır bu bölgeyi öne çekti (canlıya uygulandı).</t>
  </si>
  <si>
    <t xml:space="preserve">7. sütun = iyimser senaryo payı (tavan %42, referans). Uygulanan medyan (2. sütun) AGRESİF/sola-kaydır: ara yıllar erken, 2032 = %35 sabit.</t>
  </si>
  <si>
    <t xml:space="preserve">Sınır: SOM tavanı %35 = 121,1 milyar ₺. Modelin knownIssues notu mevcut yolda bile gelirin SOM'u zaman zaman ~2x aştığını işaret eder; agresif pay tavanı yeniden tanımlamayı gerektirir.</t>
  </si>
  <si>
    <t xml:space="preserve">AI-FIRST KALDIRAÇ — 256 kişi vs AI'siz ~544 (sektör benchmark)</t>
  </si>
  <si>
    <t xml:space="preserve">Departman</t>
  </si>
  <si>
    <t xml:space="preserve">AI'siz (teorik)</t>
  </si>
  <si>
    <t xml:space="preserve">2031 Hedef (AI-first)</t>
  </si>
  <si>
    <t xml:space="preserve">AI tasarrufu (FTE)</t>
  </si>
  <si>
    <t xml:space="preserve">Engineering (Backend/FE/Mobile/QA/DevOps)</t>
  </si>
  <si>
    <t xml:space="preserve">AI / Data / GIS / ML</t>
  </si>
  <si>
    <t xml:space="preserve">Product / Design / UX</t>
  </si>
  <si>
    <t xml:space="preserve">Marketing / Growth / Content</t>
  </si>
  <si>
    <t xml:space="preserve">Customer Support / Helpdesk</t>
  </si>
  <si>
    <t xml:space="preserve">Moderation / Trust</t>
  </si>
  <si>
    <t xml:space="preserve">Finance / Accounting</t>
  </si>
  <si>
    <t xml:space="preserve">Legal / Compliance / KVKK</t>
  </si>
  <si>
    <t xml:space="preserve">HR / People / Talent</t>
  </si>
  <si>
    <t xml:space="preserve">Admin / Office / PR</t>
  </si>
  <si>
    <t xml:space="preserve">Agile / SAFe</t>
  </si>
  <si>
    <t xml:space="preserve">C-Level / Heads</t>
  </si>
  <si>
    <t xml:space="preserve">Çağrı Merkezi (klasik)</t>
  </si>
  <si>
    <t xml:space="preserve">TOPLAM</t>
  </si>
  <si>
    <t xml:space="preserve">Not: AI VERİMLİLİK kategori toplamı 265 verir (bindirme); resmi kadro hedefi 256. Tasarruf = 544−256 ≈ 288 FTE (~2,1x iç kaldıraç).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</si>
</sst>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0.0%"/>
    <numFmt numFmtId="168" formatCode="0.00\x"/>
    <numFmt numFmtId="169" formatCode="\+0.0;\-0.0"/>
    <numFmt numFmtId="170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7D86"/>
        <bgColor rgb="FF008080"/>
      </patternFill>
    </fill>
    <fill>
      <patternFill patternType="solid">
        <fgColor rgb="FFE6F4EA"/>
        <bgColor rgb="FFFFF3CD"/>
      </patternFill>
    </fill>
    <fill>
      <patternFill patternType="solid">
        <fgColor rgb="FFFFF3CD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3CD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2E7D8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5" t="s">
        <v>3</v>
      </c>
      <c r="B6" s="5"/>
    </row>
    <row r="7" customFormat="false" ht="23.85" hidden="false" customHeight="false" outlineLevel="0" collapsed="false">
      <c r="A7" s="4" t="s">
        <v>4</v>
      </c>
      <c r="B7" s="4"/>
    </row>
    <row r="8" customFormat="false" ht="23.85" hidden="false" customHeight="false" outlineLevel="0" collapsed="false">
      <c r="A8" s="4" t="s">
        <v>5</v>
      </c>
      <c r="B8" s="4"/>
    </row>
    <row r="9" customFormat="false" ht="23.85" hidden="false" customHeight="false" outlineLevel="0" collapsed="false">
      <c r="A9" s="4" t="s">
        <v>6</v>
      </c>
      <c r="B9" s="4"/>
    </row>
    <row r="10" customFormat="false" ht="23.85" hidden="false" customHeight="false" outlineLevel="0" collapsed="false">
      <c r="A10" s="4" t="s">
        <v>7</v>
      </c>
      <c r="B10" s="4"/>
    </row>
    <row r="11" customFormat="false" ht="15" hidden="false" customHeight="false" outlineLevel="0" collapsed="false">
      <c r="A11" s="4"/>
      <c r="B11" s="4"/>
    </row>
    <row r="12" customFormat="false" ht="15" hidden="false" customHeight="false" outlineLevel="0" collapsed="false">
      <c r="A12" s="5" t="s">
        <v>8</v>
      </c>
      <c r="B12" s="5" t="s">
        <v>9</v>
      </c>
    </row>
    <row r="13" customFormat="false" ht="23.85" hidden="false" customHeight="false" outlineLevel="0" collapsed="false">
      <c r="A13" s="4" t="s">
        <v>10</v>
      </c>
      <c r="B13" s="6" t="s">
        <v>11</v>
      </c>
    </row>
    <row r="14" customFormat="false" ht="15" hidden="false" customHeight="false" outlineLevel="0" collapsed="false">
      <c r="A14" s="4" t="s">
        <v>12</v>
      </c>
      <c r="B14" s="6" t="s">
        <v>13</v>
      </c>
    </row>
    <row r="15" customFormat="false" ht="15" hidden="false" customHeight="false" outlineLevel="0" collapsed="false">
      <c r="A15" s="4" t="s">
        <v>14</v>
      </c>
      <c r="B15" s="6" t="s">
        <v>15</v>
      </c>
    </row>
    <row r="16" customFormat="false" ht="15" hidden="false" customHeight="false" outlineLevel="0" collapsed="false">
      <c r="A16" s="4" t="s">
        <v>16</v>
      </c>
      <c r="B16" s="6" t="s">
        <v>17</v>
      </c>
    </row>
    <row r="17" customFormat="false" ht="23.85" hidden="false" customHeight="false" outlineLevel="0" collapsed="false">
      <c r="A17" s="4" t="s">
        <v>18</v>
      </c>
      <c r="B17" s="6" t="s">
        <v>19</v>
      </c>
    </row>
    <row r="18" customFormat="false" ht="15" hidden="false" customHeight="false" outlineLevel="0" collapsed="false">
      <c r="A18" s="4"/>
      <c r="B18" s="4"/>
    </row>
    <row r="19" customFormat="false" ht="15" hidden="false" customHeight="false" outlineLevel="0" collapsed="false">
      <c r="A19" s="5" t="s">
        <v>20</v>
      </c>
      <c r="B19" s="5" t="s">
        <v>21</v>
      </c>
    </row>
    <row r="20" customFormat="false" ht="23.85" hidden="false" customHeight="true" outlineLevel="0" collapsed="false">
      <c r="A20" s="4" t="s">
        <v>22</v>
      </c>
      <c r="B20" s="7" t="s">
        <v>23</v>
      </c>
      <c r="C20" s="7"/>
      <c r="D20" s="7"/>
      <c r="E20" s="7"/>
      <c r="F20" s="7"/>
    </row>
    <row r="21" customFormat="false" ht="23.85" hidden="false" customHeight="true" outlineLevel="0" collapsed="false">
      <c r="A21" s="4" t="s">
        <v>24</v>
      </c>
      <c r="B21" s="7" t="s">
        <v>25</v>
      </c>
      <c r="C21" s="7"/>
      <c r="D21" s="7"/>
      <c r="E21" s="7"/>
      <c r="F21" s="7"/>
    </row>
    <row r="22" customFormat="false" ht="23.85" hidden="false" customHeight="true" outlineLevel="0" collapsed="false">
      <c r="A22" s="4" t="s">
        <v>26</v>
      </c>
      <c r="B22" s="7" t="s">
        <v>27</v>
      </c>
      <c r="C22" s="7"/>
      <c r="D22" s="7"/>
      <c r="E22" s="7"/>
      <c r="F22" s="7"/>
    </row>
    <row r="23" customFormat="false" ht="23.85" hidden="false" customHeight="true" outlineLevel="0" collapsed="false">
      <c r="A23" s="4" t="s">
        <v>28</v>
      </c>
      <c r="B23" s="7" t="s">
        <v>29</v>
      </c>
      <c r="C23" s="7"/>
      <c r="D23" s="7"/>
      <c r="E23" s="7"/>
      <c r="F23" s="7"/>
    </row>
  </sheetData>
  <mergeCells count="7">
    <mergeCell ref="A1:F1"/>
    <mergeCell ref="A2:F2"/>
    <mergeCell ref="A3:F3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14" min="2" style="0" width="8.5"/>
  </cols>
  <sheetData>
    <row r="1" customFormat="false" ht="24" hidden="false" customHeight="true" outlineLevel="0" collapsed="false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25.5" hidden="false" customHeight="true" outlineLevel="0" collapsed="false">
      <c r="A2" s="9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10" t="s">
        <v>32</v>
      </c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  <c r="H3" s="11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1" t="s">
        <v>44</v>
      </c>
      <c r="N3" s="11" t="s">
        <v>45</v>
      </c>
    </row>
    <row r="4" customFormat="false" ht="15" hidden="false" customHeight="false" outlineLevel="0" collapsed="false">
      <c r="A4" s="12" t="s">
        <v>46</v>
      </c>
      <c r="B4" s="13" t="n">
        <v>0</v>
      </c>
      <c r="C4" s="13" t="n">
        <v>4</v>
      </c>
      <c r="D4" s="13" t="n">
        <v>7</v>
      </c>
      <c r="E4" s="13" t="n">
        <v>10</v>
      </c>
      <c r="F4" s="13" t="n">
        <v>12</v>
      </c>
      <c r="G4" s="13" t="n">
        <v>16</v>
      </c>
      <c r="H4" s="13" t="n">
        <v>20</v>
      </c>
      <c r="I4" s="13" t="n">
        <v>23</v>
      </c>
      <c r="J4" s="13" t="n">
        <v>26</v>
      </c>
      <c r="K4" s="13" t="n">
        <v>37</v>
      </c>
      <c r="L4" s="13" t="n">
        <v>44</v>
      </c>
      <c r="M4" s="13" t="n">
        <v>48</v>
      </c>
      <c r="N4" s="13" t="n">
        <v>48</v>
      </c>
    </row>
    <row r="5" customFormat="false" ht="15" hidden="false" customHeight="false" outlineLevel="0" collapsed="false">
      <c r="A5" s="12" t="s">
        <v>47</v>
      </c>
      <c r="B5" s="13" t="n">
        <v>0</v>
      </c>
      <c r="C5" s="13" t="n">
        <v>0</v>
      </c>
      <c r="D5" s="13" t="n">
        <v>0</v>
      </c>
      <c r="E5" s="13" t="n">
        <v>1</v>
      </c>
      <c r="F5" s="13" t="n">
        <v>2</v>
      </c>
      <c r="G5" s="13" t="n">
        <v>3</v>
      </c>
      <c r="H5" s="13" t="n">
        <v>5</v>
      </c>
      <c r="I5" s="13" t="n">
        <v>7</v>
      </c>
      <c r="J5" s="13" t="n">
        <v>9</v>
      </c>
      <c r="K5" s="13" t="n">
        <v>15</v>
      </c>
      <c r="L5" s="13" t="n">
        <v>22</v>
      </c>
      <c r="M5" s="13" t="n">
        <v>30</v>
      </c>
      <c r="N5" s="13" t="n">
        <v>40</v>
      </c>
    </row>
    <row r="6" customFormat="false" ht="15" hidden="false" customHeight="false" outlineLevel="0" collapsed="false">
      <c r="A6" s="12" t="s">
        <v>48</v>
      </c>
      <c r="B6" s="13" t="n">
        <v>0</v>
      </c>
      <c r="C6" s="13" t="n">
        <v>0</v>
      </c>
      <c r="D6" s="13" t="n">
        <v>1</v>
      </c>
      <c r="E6" s="13" t="n">
        <v>2</v>
      </c>
      <c r="F6" s="13" t="n">
        <v>3</v>
      </c>
      <c r="G6" s="13" t="n">
        <v>5</v>
      </c>
      <c r="H6" s="13" t="n">
        <v>7</v>
      </c>
      <c r="I6" s="13" t="n">
        <v>9</v>
      </c>
      <c r="J6" s="13" t="n">
        <v>10</v>
      </c>
      <c r="K6" s="13" t="n">
        <v>16</v>
      </c>
      <c r="L6" s="13" t="n">
        <v>22</v>
      </c>
      <c r="M6" s="13" t="n">
        <v>28</v>
      </c>
      <c r="N6" s="13" t="n">
        <v>32</v>
      </c>
    </row>
    <row r="7" customFormat="false" ht="15" hidden="false" customHeight="false" outlineLevel="0" collapsed="false">
      <c r="A7" s="14" t="s">
        <v>49</v>
      </c>
      <c r="B7" s="15" t="n">
        <v>0</v>
      </c>
      <c r="C7" s="15" t="n">
        <v>1</v>
      </c>
      <c r="D7" s="15" t="n">
        <v>2</v>
      </c>
      <c r="E7" s="15" t="n">
        <v>3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12</v>
      </c>
      <c r="L7" s="15" t="n">
        <v>17</v>
      </c>
      <c r="M7" s="15" t="n">
        <v>22</v>
      </c>
      <c r="N7" s="15" t="n">
        <v>28</v>
      </c>
    </row>
    <row r="8" customFormat="false" ht="15" hidden="false" customHeight="false" outlineLevel="0" collapsed="false">
      <c r="A8" s="14" t="s">
        <v>50</v>
      </c>
      <c r="B8" s="15" t="n">
        <v>2</v>
      </c>
      <c r="C8" s="15" t="n">
        <v>4</v>
      </c>
      <c r="D8" s="15" t="n">
        <v>6</v>
      </c>
      <c r="E8" s="15" t="n">
        <v>7</v>
      </c>
      <c r="F8" s="15" t="n">
        <v>8</v>
      </c>
      <c r="G8" s="15" t="n">
        <v>10</v>
      </c>
      <c r="H8" s="15" t="n">
        <v>12</v>
      </c>
      <c r="I8" s="15" t="n">
        <v>14</v>
      </c>
      <c r="J8" s="15" t="n">
        <v>16</v>
      </c>
      <c r="K8" s="15" t="n">
        <v>22</v>
      </c>
      <c r="L8" s="15" t="n">
        <v>27</v>
      </c>
      <c r="M8" s="15" t="n">
        <v>30</v>
      </c>
      <c r="N8" s="15" t="n">
        <v>30</v>
      </c>
    </row>
    <row r="9" customFormat="false" ht="15" hidden="false" customHeight="false" outlineLevel="0" collapsed="false">
      <c r="A9" s="14" t="s">
        <v>51</v>
      </c>
      <c r="B9" s="15" t="n">
        <v>1</v>
      </c>
      <c r="C9" s="15" t="n">
        <v>2</v>
      </c>
      <c r="D9" s="15" t="n">
        <v>3</v>
      </c>
      <c r="E9" s="15" t="n">
        <v>4</v>
      </c>
      <c r="F9" s="15" t="n">
        <v>4</v>
      </c>
      <c r="G9" s="15" t="n">
        <v>5</v>
      </c>
      <c r="H9" s="15" t="n">
        <v>6</v>
      </c>
      <c r="I9" s="15" t="n">
        <v>7</v>
      </c>
      <c r="J9" s="15" t="n">
        <v>8</v>
      </c>
      <c r="K9" s="15" t="n">
        <v>11</v>
      </c>
      <c r="L9" s="15" t="n">
        <v>15</v>
      </c>
      <c r="M9" s="15" t="n">
        <v>17</v>
      </c>
      <c r="N9" s="15" t="n">
        <v>18</v>
      </c>
    </row>
    <row r="10" customFormat="false" ht="15" hidden="false" customHeight="false" outlineLevel="0" collapsed="false">
      <c r="A10" s="14" t="s">
        <v>52</v>
      </c>
      <c r="B10" s="15" t="n">
        <v>1</v>
      </c>
      <c r="C10" s="15" t="n">
        <v>2</v>
      </c>
      <c r="D10" s="15" t="n">
        <v>3</v>
      </c>
      <c r="E10" s="15" t="n">
        <v>3</v>
      </c>
      <c r="F10" s="15" t="n">
        <v>3</v>
      </c>
      <c r="G10" s="15" t="n">
        <v>4</v>
      </c>
      <c r="H10" s="15" t="n">
        <v>5</v>
      </c>
      <c r="I10" s="15" t="n">
        <v>6</v>
      </c>
      <c r="J10" s="15" t="n">
        <v>7</v>
      </c>
      <c r="K10" s="15" t="n">
        <v>9</v>
      </c>
      <c r="L10" s="15" t="n">
        <v>11</v>
      </c>
      <c r="M10" s="15" t="n">
        <v>13</v>
      </c>
      <c r="N10" s="15" t="n">
        <v>14</v>
      </c>
    </row>
    <row r="11" customFormat="false" ht="15" hidden="false" customHeight="false" outlineLevel="0" collapsed="false">
      <c r="A11" s="14" t="s">
        <v>53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1</v>
      </c>
      <c r="H11" s="15" t="n">
        <v>2</v>
      </c>
      <c r="I11" s="15" t="n">
        <v>2</v>
      </c>
      <c r="J11" s="15" t="n">
        <v>3</v>
      </c>
      <c r="K11" s="15" t="n">
        <v>6</v>
      </c>
      <c r="L11" s="15" t="n">
        <v>9</v>
      </c>
      <c r="M11" s="15" t="n">
        <v>12</v>
      </c>
      <c r="N11" s="15" t="n">
        <v>16</v>
      </c>
    </row>
    <row r="12" customFormat="false" ht="15" hidden="false" customHeight="false" outlineLevel="0" collapsed="false">
      <c r="A12" s="14" t="s">
        <v>54</v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1</v>
      </c>
      <c r="G12" s="15" t="n">
        <v>1</v>
      </c>
      <c r="H12" s="15" t="n">
        <v>1</v>
      </c>
      <c r="I12" s="15" t="n">
        <v>2</v>
      </c>
      <c r="J12" s="15" t="n">
        <v>2</v>
      </c>
      <c r="K12" s="15" t="n">
        <v>4</v>
      </c>
      <c r="L12" s="15" t="n">
        <v>6</v>
      </c>
      <c r="M12" s="15" t="n">
        <v>8</v>
      </c>
      <c r="N12" s="15" t="n">
        <v>10</v>
      </c>
    </row>
    <row r="13" customFormat="false" ht="15" hidden="false" customHeight="false" outlineLevel="0" collapsed="false">
      <c r="A13" s="14" t="s">
        <v>55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1</v>
      </c>
      <c r="H13" s="15" t="n">
        <v>1</v>
      </c>
      <c r="I13" s="15" t="n">
        <v>2</v>
      </c>
      <c r="J13" s="15" t="n">
        <v>2</v>
      </c>
      <c r="K13" s="15" t="n">
        <v>4</v>
      </c>
      <c r="L13" s="15" t="n">
        <v>6</v>
      </c>
      <c r="M13" s="15" t="n">
        <v>8</v>
      </c>
      <c r="N13" s="15" t="n">
        <v>10</v>
      </c>
    </row>
    <row r="14" customFormat="false" ht="15" hidden="false" customHeight="false" outlineLevel="0" collapsed="false">
      <c r="A14" s="14" t="s">
        <v>56</v>
      </c>
      <c r="B14" s="15" t="n">
        <v>1</v>
      </c>
      <c r="C14" s="15" t="n">
        <v>1</v>
      </c>
      <c r="D14" s="15" t="n">
        <v>1</v>
      </c>
      <c r="E14" s="15" t="n">
        <v>1</v>
      </c>
      <c r="F14" s="15" t="n">
        <v>1</v>
      </c>
      <c r="G14" s="15" t="n">
        <v>1</v>
      </c>
      <c r="H14" s="15" t="n">
        <v>1</v>
      </c>
      <c r="I14" s="15" t="n">
        <v>1</v>
      </c>
      <c r="J14" s="15" t="n">
        <v>2</v>
      </c>
      <c r="K14" s="15" t="n">
        <v>4</v>
      </c>
      <c r="L14" s="15" t="n">
        <v>6</v>
      </c>
      <c r="M14" s="15" t="n">
        <v>9</v>
      </c>
      <c r="N14" s="15" t="n">
        <v>10</v>
      </c>
    </row>
    <row r="15" customFormat="false" ht="15" hidden="false" customHeight="false" outlineLevel="0" collapsed="false">
      <c r="A15" s="16" t="s">
        <v>57</v>
      </c>
      <c r="B15" s="10" t="n">
        <f aca="false">SUM(B4:B14)</f>
        <v>5</v>
      </c>
      <c r="C15" s="10" t="n">
        <f aca="false">SUM(C4:C14)</f>
        <v>14</v>
      </c>
      <c r="D15" s="10" t="n">
        <f aca="false">SUM(D4:D14)</f>
        <v>23</v>
      </c>
      <c r="E15" s="10" t="n">
        <f aca="false">SUM(E4:E14)</f>
        <v>31</v>
      </c>
      <c r="F15" s="10" t="n">
        <f aca="false">SUM(F4:F14)</f>
        <v>38</v>
      </c>
      <c r="G15" s="10" t="n">
        <f aca="false">SUM(G4:G14)</f>
        <v>51</v>
      </c>
      <c r="H15" s="10" t="n">
        <f aca="false">SUM(H4:H14)</f>
        <v>65</v>
      </c>
      <c r="I15" s="10" t="n">
        <f aca="false">SUM(I4:I14)</f>
        <v>79</v>
      </c>
      <c r="J15" s="10" t="n">
        <f aca="false">SUM(J4:J14)</f>
        <v>92</v>
      </c>
      <c r="K15" s="10" t="n">
        <f aca="false">SUM(K4:K14)</f>
        <v>140</v>
      </c>
      <c r="L15" s="10" t="n">
        <f aca="false">SUM(L4:L14)</f>
        <v>185</v>
      </c>
      <c r="M15" s="10" t="n">
        <f aca="false">SUM(M4:M14)</f>
        <v>225</v>
      </c>
      <c r="N15" s="10" t="n">
        <f aca="false">SUM(N4:N14)</f>
        <v>256</v>
      </c>
    </row>
    <row r="16" customFormat="false" ht="15" hidden="false" customHeight="false" outlineLevel="0" collapsed="false">
      <c r="A16" s="17" t="s">
        <v>58</v>
      </c>
      <c r="B16" s="18" t="n">
        <v>5</v>
      </c>
      <c r="C16" s="18" t="n">
        <v>14</v>
      </c>
      <c r="D16" s="18" t="n">
        <v>23</v>
      </c>
      <c r="E16" s="18" t="n">
        <v>31</v>
      </c>
      <c r="F16" s="18" t="n">
        <v>38</v>
      </c>
      <c r="G16" s="18" t="n">
        <v>51</v>
      </c>
      <c r="H16" s="18" t="n">
        <v>65</v>
      </c>
      <c r="I16" s="18" t="n">
        <v>79</v>
      </c>
      <c r="J16" s="18" t="n">
        <v>92</v>
      </c>
      <c r="K16" s="18" t="n">
        <v>140</v>
      </c>
      <c r="L16" s="18" t="n">
        <v>185</v>
      </c>
      <c r="M16" s="18" t="n">
        <v>225</v>
      </c>
      <c r="N16" s="18" t="n">
        <v>256</v>
      </c>
    </row>
    <row r="17" customFormat="false" ht="15" hidden="false" customHeight="false" outlineLevel="0" collapsed="false">
      <c r="A17" s="19" t="s">
        <v>59</v>
      </c>
      <c r="B17" s="20" t="str">
        <f aca="false">IF(B15=B16,"EŞİT","FARK")</f>
        <v>EŞİT</v>
      </c>
      <c r="C17" s="20" t="str">
        <f aca="false">IF(C15=C16,"EŞİT","FARK")</f>
        <v>EŞİT</v>
      </c>
      <c r="D17" s="20" t="str">
        <f aca="false">IF(D15=D16,"EŞİT","FARK")</f>
        <v>EŞİT</v>
      </c>
      <c r="E17" s="20" t="str">
        <f aca="false">IF(E15=E16,"EŞİT","FARK")</f>
        <v>EŞİT</v>
      </c>
      <c r="F17" s="20" t="str">
        <f aca="false">IF(F15=F16,"EŞİT","FARK")</f>
        <v>EŞİT</v>
      </c>
      <c r="G17" s="20" t="str">
        <f aca="false">IF(G15=G16,"EŞİT","FARK")</f>
        <v>EŞİT</v>
      </c>
      <c r="H17" s="20" t="str">
        <f aca="false">IF(H15=H16,"EŞİT","FARK")</f>
        <v>EŞİT</v>
      </c>
      <c r="I17" s="20" t="str">
        <f aca="false">IF(I15=I16,"EŞİT","FARK")</f>
        <v>EŞİT</v>
      </c>
      <c r="J17" s="20" t="str">
        <f aca="false">IF(J15=J16,"EŞİT","FARK")</f>
        <v>EŞİT</v>
      </c>
      <c r="K17" s="20" t="str">
        <f aca="false">IF(K15=K16,"EŞİT","FARK")</f>
        <v>EŞİT</v>
      </c>
      <c r="L17" s="20" t="str">
        <f aca="false">IF(L15=L16,"EŞİT","FARK")</f>
        <v>EŞİT</v>
      </c>
      <c r="M17" s="20" t="str">
        <f aca="false">IF(M15=M16,"EŞİT","FARK")</f>
        <v>EŞİT</v>
      </c>
      <c r="N17" s="20" t="str">
        <f aca="false">IF(N15=N16,"EŞİT","FARK")</f>
        <v>EŞİT</v>
      </c>
    </row>
    <row r="18" customFormat="false" ht="15" hidden="false" customHeight="false" outlineLevel="0" collapsed="false">
      <c r="A18" s="21" t="s">
        <v>60</v>
      </c>
      <c r="B18" s="15" t="n">
        <f aca="false">B15</f>
        <v>5</v>
      </c>
      <c r="C18" s="15" t="n">
        <f aca="false">C15-B15</f>
        <v>9</v>
      </c>
      <c r="D18" s="15" t="n">
        <f aca="false">D15-C15</f>
        <v>9</v>
      </c>
      <c r="E18" s="15" t="n">
        <f aca="false">E15-D15</f>
        <v>8</v>
      </c>
      <c r="F18" s="15" t="n">
        <f aca="false">F15-E15</f>
        <v>7</v>
      </c>
      <c r="G18" s="15" t="n">
        <f aca="false">G15-F15</f>
        <v>13</v>
      </c>
      <c r="H18" s="15" t="n">
        <f aca="false">H15-G15</f>
        <v>14</v>
      </c>
      <c r="I18" s="15" t="n">
        <f aca="false">I15-H15</f>
        <v>14</v>
      </c>
      <c r="J18" s="15" t="n">
        <f aca="false">J15-I15</f>
        <v>13</v>
      </c>
      <c r="K18" s="15" t="n">
        <f aca="false">K15-J15</f>
        <v>48</v>
      </c>
      <c r="L18" s="15" t="n">
        <f aca="false">L15-K15</f>
        <v>45</v>
      </c>
      <c r="M18" s="15" t="n">
        <f aca="false">M15-L15</f>
        <v>40</v>
      </c>
      <c r="N18" s="15" t="n">
        <f aca="false">N15-M15</f>
        <v>31</v>
      </c>
    </row>
    <row r="20" customFormat="false" ht="24" hidden="false" customHeight="true" outlineLevel="0" collapsed="false">
      <c r="A20" s="22" t="s">
        <v>61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customFormat="false" ht="24" hidden="false" customHeight="true" outlineLevel="0" collapsed="false">
      <c r="A21" s="22" t="s">
        <v>62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customFormat="false" ht="24" hidden="false" customHeight="true" outlineLevel="0" collapsed="false">
      <c r="A22" s="22" t="s">
        <v>63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customFormat="false" ht="24" hidden="false" customHeight="true" outlineLevel="0" collapsed="false">
      <c r="A23" s="22" t="s">
        <v>64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customFormat="false" ht="24" hidden="false" customHeight="true" outlineLevel="0" collapsed="false">
      <c r="A24" s="22" t="s">
        <v>65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</sheetData>
  <mergeCells count="7">
    <mergeCell ref="A1:N1"/>
    <mergeCell ref="A2:N2"/>
    <mergeCell ref="A20:N20"/>
    <mergeCell ref="A21:N21"/>
    <mergeCell ref="A22:N22"/>
    <mergeCell ref="A23:N23"/>
    <mergeCell ref="A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24" hidden="false" customHeight="true" outlineLevel="0" collapsed="false">
      <c r="A1" s="23" t="s">
        <v>66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4" t="s">
        <v>67</v>
      </c>
      <c r="B2" s="24"/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A4" s="10" t="s">
        <v>68</v>
      </c>
      <c r="B4" s="10" t="s">
        <v>69</v>
      </c>
      <c r="C4" s="10" t="s">
        <v>70</v>
      </c>
      <c r="D4" s="10" t="s">
        <v>42</v>
      </c>
      <c r="E4" s="10" t="s">
        <v>43</v>
      </c>
      <c r="F4" s="10" t="s">
        <v>44</v>
      </c>
      <c r="G4" s="10" t="s">
        <v>45</v>
      </c>
    </row>
    <row r="5" customFormat="false" ht="15" hidden="false" customHeight="false" outlineLevel="0" collapsed="false">
      <c r="A5" s="25" t="s">
        <v>71</v>
      </c>
      <c r="B5" s="18" t="n">
        <v>30</v>
      </c>
      <c r="C5" s="18" t="n">
        <v>72</v>
      </c>
      <c r="D5" s="18" t="n">
        <v>116</v>
      </c>
      <c r="E5" s="18" t="n">
        <v>162</v>
      </c>
      <c r="F5" s="18" t="n">
        <v>210</v>
      </c>
      <c r="G5" s="18" t="n">
        <v>256</v>
      </c>
    </row>
    <row r="6" customFormat="false" ht="15" hidden="false" customHeight="false" outlineLevel="0" collapsed="false">
      <c r="A6" s="25" t="s">
        <v>72</v>
      </c>
      <c r="B6" s="18" t="n">
        <v>38</v>
      </c>
      <c r="C6" s="18" t="n">
        <v>92</v>
      </c>
      <c r="D6" s="18" t="n">
        <v>140</v>
      </c>
      <c r="E6" s="18" t="n">
        <v>185</v>
      </c>
      <c r="F6" s="18" t="n">
        <v>225</v>
      </c>
      <c r="G6" s="18" t="n">
        <v>256</v>
      </c>
    </row>
    <row r="7" customFormat="false" ht="15" hidden="false" customHeight="false" outlineLevel="0" collapsed="false">
      <c r="A7" s="19" t="s">
        <v>73</v>
      </c>
      <c r="B7" s="26" t="n">
        <f aca="false">B6-B5</f>
        <v>8</v>
      </c>
      <c r="C7" s="26" t="n">
        <f aca="false">C6-C5</f>
        <v>20</v>
      </c>
      <c r="D7" s="26" t="n">
        <f aca="false">D6-D5</f>
        <v>24</v>
      </c>
      <c r="E7" s="26" t="n">
        <f aca="false">E6-E5</f>
        <v>23</v>
      </c>
      <c r="F7" s="26" t="n">
        <f aca="false">F6-F5</f>
        <v>15</v>
      </c>
      <c r="G7" s="26" t="n">
        <f aca="false">G6-G5</f>
        <v>0</v>
      </c>
    </row>
    <row r="8" customFormat="false" ht="15" hidden="false" customHeight="false" outlineLevel="0" collapsed="false">
      <c r="A8" s="25" t="s">
        <v>74</v>
      </c>
      <c r="B8" s="18" t="n">
        <v>5</v>
      </c>
      <c r="C8" s="18" t="n">
        <v>12</v>
      </c>
      <c r="D8" s="18" t="n">
        <v>12</v>
      </c>
      <c r="E8" s="18" t="n">
        <v>12</v>
      </c>
      <c r="F8" s="18" t="n">
        <v>12</v>
      </c>
      <c r="G8" s="18" t="n">
        <v>12</v>
      </c>
    </row>
    <row r="9" customFormat="false" ht="15" hidden="false" customHeight="false" outlineLevel="0" collapsed="false">
      <c r="A9" s="27" t="s">
        <v>75</v>
      </c>
      <c r="B9" s="15" t="n">
        <f aca="false">(0+B7)/2*B8</f>
        <v>20</v>
      </c>
      <c r="C9" s="15" t="n">
        <f aca="false">(B7+C7)/2*C8</f>
        <v>168</v>
      </c>
      <c r="D9" s="15" t="n">
        <f aca="false">(C7+D7)/2*D8</f>
        <v>264</v>
      </c>
      <c r="E9" s="15" t="n">
        <f aca="false">(D7+E7)/2*E8</f>
        <v>282</v>
      </c>
      <c r="F9" s="15" t="n">
        <f aca="false">(E7+F7)/2*F8</f>
        <v>228</v>
      </c>
      <c r="G9" s="15" t="n">
        <f aca="false">(F7+G7)/2*G8</f>
        <v>90</v>
      </c>
    </row>
    <row r="11" customFormat="false" ht="15" hidden="false" customHeight="false" outlineLevel="0" collapsed="false">
      <c r="A11" s="19" t="s">
        <v>76</v>
      </c>
      <c r="B11" s="28" t="n">
        <v>68631</v>
      </c>
    </row>
    <row r="12" customFormat="false" ht="15" hidden="false" customHeight="false" outlineLevel="0" collapsed="false">
      <c r="A12" s="19" t="s">
        <v>77</v>
      </c>
      <c r="B12" s="29" t="n">
        <v>1.2375</v>
      </c>
    </row>
    <row r="13" customFormat="false" ht="15" hidden="false" customHeight="false" outlineLevel="0" collapsed="false">
      <c r="A13" s="19" t="s">
        <v>78</v>
      </c>
      <c r="B13" s="30" t="n">
        <f aca="false">B11*B12</f>
        <v>84930.8625</v>
      </c>
    </row>
    <row r="15" customFormat="false" ht="15" hidden="false" customHeight="false" outlineLevel="0" collapsed="false">
      <c r="A15" s="19" t="s">
        <v>79</v>
      </c>
      <c r="B15" s="31" t="n">
        <f aca="false">B9*$B$13</f>
        <v>1698617.25</v>
      </c>
      <c r="C15" s="31" t="n">
        <f aca="false">C9*$B$13</f>
        <v>14268384.9</v>
      </c>
      <c r="D15" s="31" t="n">
        <f aca="false">D9*$B$13</f>
        <v>22421747.7</v>
      </c>
      <c r="E15" s="31" t="n">
        <f aca="false">E9*$B$13</f>
        <v>23950503.225</v>
      </c>
      <c r="F15" s="31" t="n">
        <f aca="false">F9*$B$13</f>
        <v>19364236.65</v>
      </c>
      <c r="G15" s="31" t="n">
        <f aca="false">G9*$B$13</f>
        <v>7643777.625</v>
      </c>
    </row>
    <row r="17" customFormat="false" ht="15" hidden="false" customHeight="false" outlineLevel="0" collapsed="false">
      <c r="A17" s="19" t="s">
        <v>80</v>
      </c>
      <c r="B17" s="28" t="n">
        <v>32206288</v>
      </c>
    </row>
    <row r="18" customFormat="false" ht="15" hidden="false" customHeight="false" outlineLevel="0" collapsed="false">
      <c r="A18" s="19" t="s">
        <v>81</v>
      </c>
      <c r="B18" s="30" t="n">
        <f aca="false">B17-B15</f>
        <v>30507670.75</v>
      </c>
    </row>
    <row r="19" customFormat="false" ht="15" hidden="false" customHeight="false" outlineLevel="0" collapsed="false">
      <c r="A19" s="19" t="s">
        <v>82</v>
      </c>
      <c r="B19" s="32" t="str">
        <f aca="false">IF(B18&gt;0,"EVET — içinde","HAYIR — ek sermaye")</f>
        <v>EVET — içinde</v>
      </c>
    </row>
    <row r="21" customFormat="false" ht="30" hidden="false" customHeight="true" outlineLevel="0" collapsed="false">
      <c r="A21" s="22" t="s">
        <v>83</v>
      </c>
      <c r="B21" s="22"/>
      <c r="C21" s="22"/>
      <c r="D21" s="22"/>
      <c r="E21" s="22"/>
      <c r="F21" s="22"/>
      <c r="G21" s="22"/>
      <c r="H21" s="22"/>
    </row>
  </sheetData>
  <mergeCells count="3">
    <mergeCell ref="A1:H1"/>
    <mergeCell ref="A2:H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7"/>
    <col collapsed="false" customWidth="true" hidden="false" outlineLevel="0" max="7" min="7" style="0" width="22"/>
  </cols>
  <sheetData>
    <row r="1" customFormat="false" ht="24" hidden="false" customHeight="true" outlineLevel="0" collapsed="false">
      <c r="A1" s="23" t="s">
        <v>84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85</v>
      </c>
      <c r="B2" s="24"/>
      <c r="C2" s="24"/>
      <c r="D2" s="24"/>
      <c r="E2" s="24"/>
      <c r="F2" s="24"/>
      <c r="G2" s="24"/>
    </row>
    <row r="4" customFormat="false" ht="22.35" hidden="false" customHeight="false" outlineLevel="0" collapsed="false">
      <c r="A4" s="11" t="s">
        <v>86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</row>
    <row r="5" customFormat="false" ht="15" hidden="false" customHeight="false" outlineLevel="0" collapsed="false">
      <c r="A5" s="15" t="s">
        <v>93</v>
      </c>
      <c r="B5" s="33" t="n">
        <v>0.0063</v>
      </c>
      <c r="C5" s="34" t="s">
        <v>94</v>
      </c>
      <c r="D5" s="35" t="n">
        <f aca="false">B5*100</f>
        <v>0.63</v>
      </c>
      <c r="E5" s="36" t="n">
        <v>10.072</v>
      </c>
      <c r="F5" s="34" t="s">
        <v>94</v>
      </c>
      <c r="G5" s="37" t="n">
        <v>0.0075</v>
      </c>
    </row>
    <row r="6" customFormat="false" ht="15" hidden="false" customHeight="false" outlineLevel="0" collapsed="false">
      <c r="A6" s="15" t="s">
        <v>70</v>
      </c>
      <c r="B6" s="33" t="n">
        <v>0.0405</v>
      </c>
      <c r="C6" s="34" t="n">
        <f aca="false">B6/B5</f>
        <v>6.42857142857143</v>
      </c>
      <c r="D6" s="35" t="n">
        <f aca="false">(B6-B5)*100</f>
        <v>3.42</v>
      </c>
      <c r="E6" s="36" t="n">
        <v>309.251</v>
      </c>
      <c r="F6" s="34" t="n">
        <f aca="false">E6/E5</f>
        <v>30.7040309769658</v>
      </c>
      <c r="G6" s="37" t="n">
        <v>0.0486</v>
      </c>
    </row>
    <row r="7" customFormat="false" ht="15" hidden="false" customHeight="false" outlineLevel="0" collapsed="false">
      <c r="A7" s="15" t="s">
        <v>42</v>
      </c>
      <c r="B7" s="33" t="n">
        <v>0.104</v>
      </c>
      <c r="C7" s="34" t="n">
        <f aca="false">B7/B6</f>
        <v>2.5679012345679</v>
      </c>
      <c r="D7" s="35" t="n">
        <f aca="false">(B7-B6)*100</f>
        <v>6.35</v>
      </c>
      <c r="E7" s="36" t="n">
        <v>901.972</v>
      </c>
      <c r="F7" s="34" t="n">
        <f aca="false">E7/E6</f>
        <v>2.91663406100546</v>
      </c>
      <c r="G7" s="37" t="n">
        <v>0.1248</v>
      </c>
    </row>
    <row r="8" customFormat="false" ht="15" hidden="false" customHeight="false" outlineLevel="0" collapsed="false">
      <c r="A8" s="15" t="s">
        <v>43</v>
      </c>
      <c r="B8" s="33" t="n">
        <v>0.1952</v>
      </c>
      <c r="C8" s="34" t="n">
        <f aca="false">B8/B7</f>
        <v>1.87692307692308</v>
      </c>
      <c r="D8" s="35" t="n">
        <f aca="false">(B8-B7)*100</f>
        <v>9.12</v>
      </c>
      <c r="E8" s="36" t="n">
        <v>2018.703</v>
      </c>
      <c r="F8" s="34" t="n">
        <f aca="false">E8/E7</f>
        <v>2.23809940885083</v>
      </c>
      <c r="G8" s="37" t="n">
        <v>0.2342</v>
      </c>
    </row>
    <row r="9" customFormat="false" ht="15" hidden="false" customHeight="false" outlineLevel="0" collapsed="false">
      <c r="A9" s="15" t="s">
        <v>44</v>
      </c>
      <c r="B9" s="33" t="n">
        <v>0.28</v>
      </c>
      <c r="C9" s="34" t="n">
        <f aca="false">B9/B8</f>
        <v>1.4344262295082</v>
      </c>
      <c r="D9" s="35" t="n">
        <f aca="false">(B9-B8)*100</f>
        <v>8.48</v>
      </c>
      <c r="E9" s="36" t="n">
        <v>3450.524</v>
      </c>
      <c r="F9" s="34" t="n">
        <f aca="false">E9/E8</f>
        <v>1.70927768968491</v>
      </c>
      <c r="G9" s="37" t="n">
        <v>0.336</v>
      </c>
    </row>
    <row r="10" customFormat="false" ht="15" hidden="false" customHeight="false" outlineLevel="0" collapsed="false">
      <c r="A10" s="15" t="s">
        <v>45</v>
      </c>
      <c r="B10" s="33" t="n">
        <v>0.3286</v>
      </c>
      <c r="C10" s="34" t="n">
        <f aca="false">B10/B9</f>
        <v>1.17357142857143</v>
      </c>
      <c r="D10" s="35" t="n">
        <f aca="false">(B10-B9)*100</f>
        <v>4.86</v>
      </c>
      <c r="E10" s="36" t="n">
        <v>4798.673</v>
      </c>
      <c r="F10" s="34" t="n">
        <f aca="false">E10/E9</f>
        <v>1.39070848369697</v>
      </c>
      <c r="G10" s="37" t="n">
        <v>0.3943</v>
      </c>
    </row>
    <row r="11" customFormat="false" ht="15" hidden="false" customHeight="false" outlineLevel="0" collapsed="false">
      <c r="A11" s="15" t="s">
        <v>95</v>
      </c>
      <c r="B11" s="33" t="n">
        <v>0.35</v>
      </c>
      <c r="C11" s="34" t="n">
        <f aca="false">B11/B10</f>
        <v>1.06512477175898</v>
      </c>
      <c r="D11" s="35" t="n">
        <f aca="false">(B11-B10)*100</f>
        <v>2.14</v>
      </c>
      <c r="E11" s="36" t="n">
        <v>5500</v>
      </c>
      <c r="F11" s="34" t="n">
        <f aca="false">E11/E10</f>
        <v>1.1461501961063</v>
      </c>
      <c r="G11" s="37" t="n">
        <v>0.42</v>
      </c>
    </row>
    <row r="13" customFormat="false" ht="25.5" hidden="false" customHeight="true" outlineLevel="0" collapsed="false">
      <c r="A13" s="22" t="s">
        <v>96</v>
      </c>
      <c r="B13" s="22"/>
      <c r="C13" s="22"/>
      <c r="D13" s="22"/>
      <c r="E13" s="22"/>
      <c r="F13" s="22"/>
      <c r="G13" s="22"/>
    </row>
    <row r="14" customFormat="false" ht="25.5" hidden="false" customHeight="true" outlineLevel="0" collapsed="false">
      <c r="A14" s="22" t="s">
        <v>97</v>
      </c>
      <c r="B14" s="22"/>
      <c r="C14" s="22"/>
      <c r="D14" s="22"/>
      <c r="E14" s="22"/>
      <c r="F14" s="22"/>
      <c r="G14" s="22"/>
    </row>
    <row r="15" customFormat="false" ht="25.5" hidden="false" customHeight="true" outlineLevel="0" collapsed="false">
      <c r="A15" s="22" t="s">
        <v>98</v>
      </c>
      <c r="B15" s="22"/>
      <c r="C15" s="22"/>
      <c r="D15" s="22"/>
      <c r="E15" s="22"/>
      <c r="F15" s="22"/>
      <c r="G15" s="22"/>
    </row>
    <row r="16" customFormat="false" ht="25.5" hidden="false" customHeight="true" outlineLevel="0" collapsed="false">
      <c r="A16" s="22" t="s">
        <v>99</v>
      </c>
      <c r="B16" s="22"/>
      <c r="C16" s="22"/>
      <c r="D16" s="22"/>
      <c r="E16" s="22"/>
      <c r="F16" s="22"/>
      <c r="G16" s="22"/>
    </row>
  </sheetData>
  <mergeCells count="6">
    <mergeCell ref="A1:G1"/>
    <mergeCell ref="A2:G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24" hidden="false" customHeight="true" outlineLevel="0" collapsed="false">
      <c r="A1" s="23" t="s">
        <v>100</v>
      </c>
      <c r="B1" s="23"/>
      <c r="C1" s="23"/>
      <c r="D1" s="23"/>
    </row>
    <row r="3" customFormat="false" ht="15" hidden="false" customHeight="false" outlineLevel="0" collapsed="false">
      <c r="A3" s="10" t="s">
        <v>101</v>
      </c>
      <c r="B3" s="10" t="s">
        <v>102</v>
      </c>
      <c r="C3" s="10" t="s">
        <v>103</v>
      </c>
      <c r="D3" s="10" t="s">
        <v>104</v>
      </c>
    </row>
    <row r="4" customFormat="false" ht="15" hidden="false" customHeight="false" outlineLevel="0" collapsed="false">
      <c r="A4" s="14" t="s">
        <v>105</v>
      </c>
      <c r="B4" s="38" t="n">
        <v>130</v>
      </c>
      <c r="C4" s="38" t="n">
        <v>80</v>
      </c>
      <c r="D4" s="15" t="n">
        <f aca="false">B4-C4</f>
        <v>50</v>
      </c>
    </row>
    <row r="5" customFormat="false" ht="15" hidden="false" customHeight="false" outlineLevel="0" collapsed="false">
      <c r="A5" s="14" t="s">
        <v>106</v>
      </c>
      <c r="B5" s="38" t="n">
        <v>60</v>
      </c>
      <c r="C5" s="38" t="n">
        <v>55</v>
      </c>
      <c r="D5" s="15" t="n">
        <f aca="false">B5-C5</f>
        <v>5</v>
      </c>
    </row>
    <row r="6" customFormat="false" ht="15" hidden="false" customHeight="false" outlineLevel="0" collapsed="false">
      <c r="A6" s="14" t="s">
        <v>107</v>
      </c>
      <c r="B6" s="38" t="n">
        <v>35</v>
      </c>
      <c r="C6" s="38" t="n">
        <v>25</v>
      </c>
      <c r="D6" s="15" t="n">
        <f aca="false">B6-C6</f>
        <v>10</v>
      </c>
    </row>
    <row r="7" customFormat="false" ht="15" hidden="false" customHeight="false" outlineLevel="0" collapsed="false">
      <c r="A7" s="14" t="s">
        <v>108</v>
      </c>
      <c r="B7" s="38" t="n">
        <v>60</v>
      </c>
      <c r="C7" s="38" t="n">
        <v>24</v>
      </c>
      <c r="D7" s="15" t="n">
        <f aca="false">B7-C7</f>
        <v>36</v>
      </c>
    </row>
    <row r="8" customFormat="false" ht="15" hidden="false" customHeight="false" outlineLevel="0" collapsed="false">
      <c r="A8" s="14" t="s">
        <v>109</v>
      </c>
      <c r="B8" s="38" t="n">
        <v>80</v>
      </c>
      <c r="C8" s="38" t="n">
        <v>20</v>
      </c>
      <c r="D8" s="15" t="n">
        <f aca="false">B8-C8</f>
        <v>60</v>
      </c>
    </row>
    <row r="9" customFormat="false" ht="15" hidden="false" customHeight="false" outlineLevel="0" collapsed="false">
      <c r="A9" s="14" t="s">
        <v>110</v>
      </c>
      <c r="B9" s="38" t="n">
        <v>40</v>
      </c>
      <c r="C9" s="38" t="n">
        <v>12</v>
      </c>
      <c r="D9" s="15" t="n">
        <f aca="false">B9-C9</f>
        <v>28</v>
      </c>
    </row>
    <row r="10" customFormat="false" ht="15" hidden="false" customHeight="false" outlineLevel="0" collapsed="false">
      <c r="A10" s="14" t="s">
        <v>111</v>
      </c>
      <c r="B10" s="38" t="n">
        <v>25</v>
      </c>
      <c r="C10" s="38" t="n">
        <v>11</v>
      </c>
      <c r="D10" s="15" t="n">
        <f aca="false">B10-C10</f>
        <v>14</v>
      </c>
    </row>
    <row r="11" customFormat="false" ht="15" hidden="false" customHeight="false" outlineLevel="0" collapsed="false">
      <c r="A11" s="14" t="s">
        <v>112</v>
      </c>
      <c r="B11" s="38" t="n">
        <v>12</v>
      </c>
      <c r="C11" s="38" t="n">
        <v>5</v>
      </c>
      <c r="D11" s="15" t="n">
        <f aca="false">B11-C11</f>
        <v>7</v>
      </c>
    </row>
    <row r="12" customFormat="false" ht="15" hidden="false" customHeight="false" outlineLevel="0" collapsed="false">
      <c r="A12" s="14" t="s">
        <v>113</v>
      </c>
      <c r="B12" s="38" t="n">
        <v>15</v>
      </c>
      <c r="C12" s="38" t="n">
        <v>6</v>
      </c>
      <c r="D12" s="15" t="n">
        <f aca="false">B12-C12</f>
        <v>9</v>
      </c>
    </row>
    <row r="13" customFormat="false" ht="15" hidden="false" customHeight="false" outlineLevel="0" collapsed="false">
      <c r="A13" s="14" t="s">
        <v>114</v>
      </c>
      <c r="B13" s="38" t="n">
        <v>12</v>
      </c>
      <c r="C13" s="38" t="n">
        <v>4</v>
      </c>
      <c r="D13" s="15" t="n">
        <f aca="false">B13-C13</f>
        <v>8</v>
      </c>
    </row>
    <row r="14" customFormat="false" ht="15" hidden="false" customHeight="false" outlineLevel="0" collapsed="false">
      <c r="A14" s="14" t="s">
        <v>115</v>
      </c>
      <c r="B14" s="38" t="n">
        <v>12</v>
      </c>
      <c r="C14" s="38" t="n">
        <v>10</v>
      </c>
      <c r="D14" s="15" t="n">
        <f aca="false">B14-C14</f>
        <v>2</v>
      </c>
    </row>
    <row r="15" customFormat="false" ht="15" hidden="false" customHeight="false" outlineLevel="0" collapsed="false">
      <c r="A15" s="14" t="s">
        <v>116</v>
      </c>
      <c r="B15" s="38" t="n">
        <v>13</v>
      </c>
      <c r="C15" s="38" t="n">
        <v>13</v>
      </c>
      <c r="D15" s="15" t="n">
        <f aca="false">B15-C15</f>
        <v>0</v>
      </c>
    </row>
    <row r="16" customFormat="false" ht="15" hidden="false" customHeight="false" outlineLevel="0" collapsed="false">
      <c r="A16" s="14" t="s">
        <v>117</v>
      </c>
      <c r="B16" s="38" t="n">
        <v>50</v>
      </c>
      <c r="C16" s="38" t="n">
        <v>0</v>
      </c>
      <c r="D16" s="15" t="n">
        <f aca="false">B16-C16</f>
        <v>50</v>
      </c>
    </row>
    <row r="17" customFormat="false" ht="15" hidden="false" customHeight="false" outlineLevel="0" collapsed="false">
      <c r="A17" s="39" t="s">
        <v>118</v>
      </c>
      <c r="B17" s="10" t="n">
        <f aca="false">SUM(B4:B16)</f>
        <v>544</v>
      </c>
      <c r="C17" s="10" t="n">
        <f aca="false">SUM(C4:C16)</f>
        <v>265</v>
      </c>
      <c r="D17" s="10" t="n">
        <f aca="false">SUM(D4:D16)</f>
        <v>279</v>
      </c>
    </row>
    <row r="19" customFormat="false" ht="25.5" hidden="false" customHeight="true" outlineLevel="0" collapsed="false">
      <c r="A19" s="22" t="s">
        <v>119</v>
      </c>
      <c r="B19" s="22"/>
      <c r="C19" s="22"/>
      <c r="D19" s="22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2026-06-22T13:14:06Z</dcterms:created>
  <dc:creator>openpyxl</dc:creator>
  <dc:description/>
  <dc:language>en-US</dc:language>
  <cp:lastModifiedBy/>
  <dcterms:modified xsi:type="dcterms:W3CDTF">2026-06-22T13:14:06Z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