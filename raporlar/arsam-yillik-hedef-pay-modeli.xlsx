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arsayımlar" sheetId="1" state="visible" r:id="rId1"/>
    <sheet xmlns:r="http://schemas.openxmlformats.org/officeDocument/2006/relationships" name="Yıllık Hedef Planı" sheetId="2" state="visible" r:id="rId2"/>
    <sheet xmlns:r="http://schemas.openxmlformats.org/officeDocument/2006/relationships" name="Senaryo Bandı" sheetId="3" state="visible" r:id="rId3"/>
    <sheet xmlns:r="http://schemas.openxmlformats.org/officeDocument/2006/relationships" name="Gelir Köprüsü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₺&quot;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b val="1"/>
      <color rgb="FFFFFFFF"/>
      <sz val="14"/>
    </font>
    <font>
      <name val="Roboto"/>
      <charset val="1"/>
      <family val="0"/>
      <i val="1"/>
      <color rgb="FF6B6B6B"/>
      <sz val="9"/>
    </font>
    <font>
      <name val="Roboto"/>
      <charset val="1"/>
      <family val="0"/>
      <b val="1"/>
      <color rgb="FF2F5512"/>
      <sz val="11"/>
    </font>
    <font>
      <name val="Roboto"/>
      <charset val="1"/>
      <family val="0"/>
      <color rgb="FF000000"/>
      <sz val="11"/>
    </font>
    <font>
      <name val="Roboto"/>
      <charset val="1"/>
      <family val="0"/>
      <b val="1"/>
      <color rgb="FF008000"/>
      <sz val="11"/>
    </font>
    <font>
      <name val="Roboto"/>
      <charset val="1"/>
      <family val="0"/>
      <color rgb="FF0000FF"/>
      <sz val="11"/>
    </font>
    <font>
      <name val="Roboto"/>
      <charset val="1"/>
      <family val="0"/>
      <b val="1"/>
      <color rgb="FFFFFFFF"/>
      <sz val="12"/>
    </font>
    <font>
      <name val="Roboto"/>
      <charset val="1"/>
      <family val="0"/>
      <b val="1"/>
      <color rgb="FFFFFFFF"/>
      <sz val="10"/>
    </font>
    <font>
      <name val="Roboto"/>
      <charset val="1"/>
      <family val="0"/>
      <b val="1"/>
      <color rgb="FF000000"/>
      <sz val="11"/>
    </font>
    <font>
      <name val="Roboto"/>
      <charset val="1"/>
      <family val="0"/>
      <b val="1"/>
      <color rgb="FF0000FF"/>
      <sz val="11"/>
    </font>
    <font>
      <name val="Roboto"/>
      <charset val="1"/>
      <family val="0"/>
      <b val="1"/>
      <color rgb="FFFFFFFF"/>
      <sz val="11"/>
    </font>
    <font>
      <name val="Roboto"/>
      <charset val="1"/>
      <family val="0"/>
      <b val="1"/>
      <color rgb="FF2F5512"/>
      <sz val="10"/>
    </font>
  </fonts>
  <fills count="5">
    <fill>
      <patternFill/>
    </fill>
    <fill>
      <patternFill patternType="gray125"/>
    </fill>
    <fill>
      <patternFill patternType="solid">
        <fgColor rgb="FF2F5512"/>
        <bgColor rgb="FF333333"/>
      </patternFill>
    </fill>
    <fill>
      <patternFill patternType="solid">
        <fgColor rgb="FFEAF1E3"/>
        <bgColor rgb="FFFFFFFF"/>
      </patternFill>
    </fill>
    <fill>
      <patternFill patternType="solid">
        <fgColor rgb="FFFFF3B0"/>
        <bgColor rgb="FFEAF1E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bottom"/>
    </xf>
    <xf numFmtId="10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15" fillId="3" borderId="1" applyAlignment="1" pivotButton="0" quotePrefix="0" xfId="0">
      <alignment horizontal="center" vertical="bottom" wrapText="1"/>
    </xf>
    <xf numFmtId="0" fontId="12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bottom"/>
    </xf>
    <xf numFmtId="10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15" fillId="3" borderId="1" applyAlignment="1" pivotButton="0" quotePrefix="0" xfId="0">
      <alignment horizontal="center" vertical="bottom" wrapText="1"/>
    </xf>
    <xf numFmtId="0" fontId="12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2F551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25" min="1" max="1"/>
    <col width="20" customWidth="1" style="25" min="2" max="2"/>
    <col width="54" customWidth="1" style="25" min="3" max="3"/>
  </cols>
  <sheetData>
    <row r="1" ht="24" customHeight="1" s="26">
      <c r="A1" s="27" t="inlineStr">
        <is>
          <t>arsam.net / ParselQ — Yıllık Hedef Pay Modeli · Varsayımlar</t>
        </is>
      </c>
    </row>
    <row r="2" ht="15" customHeight="1" s="26">
      <c r="A2" s="28" t="inlineStr">
        <is>
          <t>Mavi = formül (otomatik hesap)   ·   Yeşil = elle veri girişi   ·   Sarı = kritik varsayım</t>
        </is>
      </c>
    </row>
    <row r="4" ht="15" customHeight="1" s="26">
      <c r="A4" s="29" t="inlineStr">
        <is>
          <t>2024 PAZAR BAZ VERİSİ  (kaynak — bizim değil, pazar referansı)</t>
        </is>
      </c>
    </row>
    <row r="5" ht="15" customHeight="1" s="26">
      <c r="A5" s="30" t="inlineStr">
        <is>
          <t>Toplam taşınmaz satışı (2024)</t>
        </is>
      </c>
      <c r="B5" s="31" t="n">
        <v>3065872</v>
      </c>
      <c r="C5" s="28" t="inlineStr">
        <is>
          <t>Kaynak: TKGM/TÜİK 2024 · % hesabının paydası</t>
        </is>
      </c>
    </row>
    <row r="6" ht="15" customHeight="1" s="26">
      <c r="A6" s="30" t="inlineStr">
        <is>
          <t>Arsa + tarla + ticari (2024)</t>
        </is>
      </c>
      <c r="B6" s="31" t="n">
        <v>1587847</v>
      </c>
      <c r="C6" s="28" t="inlineStr">
        <is>
          <t>Kaynak: TKGM/TÜİK 2024</t>
        </is>
      </c>
    </row>
    <row r="7" ht="15" customHeight="1" s="26">
      <c r="A7" s="30" t="inlineStr">
        <is>
          <t>Konut (2024)</t>
        </is>
      </c>
      <c r="B7" s="31" t="n">
        <v>1478025</v>
      </c>
      <c r="C7" s="28" t="inlineStr">
        <is>
          <t>Kaynak: TKGM/TÜİK 2024</t>
        </is>
      </c>
    </row>
    <row r="8" ht="15" customHeight="1" s="26">
      <c r="A8" s="30" t="inlineStr">
        <is>
          <t>Arsa segment payı (hesap)</t>
        </is>
      </c>
      <c r="B8" s="32">
        <f>B6/B5</f>
        <v/>
      </c>
      <c r="C8" s="28" t="inlineStr">
        <is>
          <t>Arsa+tarla+ticari / toplam</t>
        </is>
      </c>
    </row>
    <row r="9" ht="15" customHeight="1" s="26">
      <c r="A9" s="30" t="inlineStr">
        <is>
          <t>Kontrol: Arsa + Konut</t>
        </is>
      </c>
      <c r="B9" s="33">
        <f>B6+B7</f>
        <v/>
      </c>
      <c r="C9" s="28" t="inlineStr">
        <is>
          <t>B5 (toplam) ile eşit olmalı</t>
        </is>
      </c>
    </row>
    <row r="10" ht="15" customHeight="1" s="26">
      <c r="A10" s="30" t="inlineStr">
        <is>
          <t>Kontrol farkı</t>
        </is>
      </c>
      <c r="B10" s="33">
        <f>B5-B9</f>
        <v/>
      </c>
      <c r="C10" s="28" t="inlineStr">
        <is>
          <t>0 olmalı</t>
        </is>
      </c>
    </row>
    <row r="12" ht="15" customHeight="1" s="26">
      <c r="A12" s="29" t="inlineStr">
        <is>
          <t>BÜYÜME VARSAYIMI  (elle düzenlenebilir)</t>
        </is>
      </c>
    </row>
    <row r="13" ht="15" customHeight="1" s="26">
      <c r="A13" s="30" t="inlineStr">
        <is>
          <t>Pazar işlem büyümesi (yıllık CAGR)</t>
        </is>
      </c>
      <c r="B13" s="34" t="n">
        <v>0.02</v>
      </c>
      <c r="C13" s="28" t="inlineStr">
        <is>
          <t>2025-26 oynak; muhafazakâr varsayım</t>
        </is>
      </c>
    </row>
    <row r="15" ht="15" customHeight="1" s="26">
      <c r="A15" s="29" t="inlineStr">
        <is>
          <t>ONLINE PENETRASYON  (arsa işlemlerinin online oranı)</t>
        </is>
      </c>
    </row>
    <row r="16" ht="15" customHeight="1" s="26">
      <c r="A16" s="30" t="inlineStr">
        <is>
          <t>Online penetrasyon — 2024 başlangıç</t>
        </is>
      </c>
      <c r="B16" s="34" t="n">
        <v>0.1</v>
      </c>
      <c r="C16" s="28" t="inlineStr">
        <is>
          <t>Arsa işlemlerinde tahmini online pay</t>
        </is>
      </c>
    </row>
    <row r="17" ht="15" customHeight="1" s="26">
      <c r="A17" s="30" t="inlineStr">
        <is>
          <t>Online penetrasyon — 2032 hedef (medyan)</t>
        </is>
      </c>
      <c r="B17" s="34" t="n">
        <v>0.28</v>
      </c>
      <c r="C17" s="28" t="inlineStr">
        <is>
          <t>Dijitalleşme hedefi</t>
        </is>
      </c>
    </row>
    <row r="18" ht="15" customHeight="1" s="26">
      <c r="A18" s="30" t="inlineStr">
        <is>
          <t>Senaryo faktörü — Kötümser</t>
        </is>
      </c>
      <c r="B18" s="35" t="n">
        <v>0.75</v>
      </c>
      <c r="C18" s="28" t="inlineStr">
        <is>
          <t>Yavaş dijitalleşme</t>
        </is>
      </c>
    </row>
    <row r="19" ht="15" customHeight="1" s="26">
      <c r="A19" s="30" t="inlineStr">
        <is>
          <t>Senaryo faktörü — Medyan</t>
        </is>
      </c>
      <c r="B19" s="35" t="n">
        <v>1</v>
      </c>
      <c r="C19" s="28" t="inlineStr">
        <is>
          <t>Plan baz</t>
        </is>
      </c>
    </row>
    <row r="20" ht="15" customHeight="1" s="26">
      <c r="A20" s="30" t="inlineStr">
        <is>
          <t>Senaryo faktörü — İyimser</t>
        </is>
      </c>
      <c r="B20" s="35" t="n">
        <v>1.25</v>
      </c>
      <c r="C20" s="28" t="inlineStr">
        <is>
          <t>Hızlı dijitalleşme</t>
        </is>
      </c>
    </row>
    <row r="22" ht="15" customHeight="1" s="26">
      <c r="A22" s="29" t="inlineStr">
        <is>
          <t>GELİR KÖPRÜSÜ  (deck ile tutarlı)</t>
        </is>
      </c>
    </row>
    <row r="23" ht="15" customHeight="1" s="26">
      <c r="A23" s="30" t="inlineStr">
        <is>
          <t>2032 gelir hedefi — Kötümser (₺)</t>
        </is>
      </c>
      <c r="B23" s="36" t="n">
        <v>2687142857</v>
      </c>
      <c r="C23" s="28" t="inlineStr">
        <is>
          <t>Deck Bölüm 06/13</t>
        </is>
      </c>
    </row>
    <row r="24" ht="15" customHeight="1" s="26">
      <c r="A24" s="30" t="inlineStr">
        <is>
          <t>2032 gelir hedefi — Medyan (₺)</t>
        </is>
      </c>
      <c r="B24" s="36" t="n">
        <v>5971428571</v>
      </c>
      <c r="C24" s="28" t="inlineStr">
        <is>
          <t>Deck Bölüm 06/08/13</t>
        </is>
      </c>
    </row>
    <row r="25" ht="15" customHeight="1" s="26">
      <c r="A25" s="30" t="inlineStr">
        <is>
          <t>2032 gelir hedefi — İyimser (₺)</t>
        </is>
      </c>
      <c r="B25" s="36" t="n">
        <v>9852857143</v>
      </c>
      <c r="C25" s="28" t="inlineStr">
        <is>
          <t>Deck Bölüm 06/13</t>
        </is>
      </c>
    </row>
    <row r="27" ht="15" customHeight="1" s="26">
      <c r="A27" s="28" t="inlineStr">
        <is>
          <t>Zaman çizgisi: yazılım ~Ağustos 2026 hazır → GTM → 2026 H2 soft-launch ile pay almaya başlanır. Plan 2026'da başlar.</t>
        </is>
      </c>
    </row>
  </sheetData>
  <mergeCells count="7">
    <mergeCell ref="A1:C1"/>
    <mergeCell ref="A22:C22"/>
    <mergeCell ref="A27:C27"/>
    <mergeCell ref="A12:C12"/>
    <mergeCell ref="A4:C4"/>
    <mergeCell ref="A2:C2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5" min="1" max="1"/>
    <col width="18" customWidth="1" style="25" min="2" max="3"/>
    <col width="16" customWidth="1" style="25" min="4" max="4"/>
    <col width="18" customWidth="1" style="25" min="5" max="6"/>
    <col width="16" customWidth="1" style="25" min="7" max="7"/>
    <col width="22" customWidth="1" style="25" min="8" max="8"/>
    <col width="18" customWidth="1" style="25" min="9" max="10"/>
  </cols>
  <sheetData>
    <row r="1" ht="24" customHeight="1" s="26">
      <c r="A1" s="27" t="inlineStr">
        <is>
          <t>Yıllık Hedef Planı (2026 → 2032 · Medyan)</t>
        </is>
      </c>
    </row>
    <row r="2" ht="25.5" customHeight="1" s="26">
      <c r="A2" s="37" t="inlineStr">
        <is>
          <t>2032'de 3.065.872 tabanının hedef payı →</t>
        </is>
      </c>
      <c r="H2" s="38">
        <f>H11</f>
        <v/>
      </c>
    </row>
    <row r="3" ht="15" customHeight="1" s="26">
      <c r="A3" s="28" t="inlineStr">
        <is>
          <t>(eşittir: online arsa pazarının %38 hedef payı — deck Bölüm 06 ile tutarlı)</t>
        </is>
      </c>
    </row>
    <row r="4" ht="42" customHeight="1" s="26">
      <c r="A4" s="39" t="inlineStr">
        <is>
          <t>Yıl</t>
        </is>
      </c>
      <c r="B4" s="39" t="inlineStr">
        <is>
          <t>Toplam işlem (adet)</t>
        </is>
      </c>
      <c r="C4" s="39" t="inlineStr">
        <is>
          <t>Arsa segmenti (adet)</t>
        </is>
      </c>
      <c r="D4" s="39" t="inlineStr">
        <is>
          <t>Online penetrasyon</t>
        </is>
      </c>
      <c r="E4" s="39" t="inlineStr">
        <is>
          <t>Online arsa işlem (adet)</t>
        </is>
      </c>
      <c r="F4" s="39" t="inlineStr">
        <is>
          <t>Bizim payımız (online)</t>
        </is>
      </c>
      <c r="G4" s="39" t="inlineStr">
        <is>
          <t>Bizim işlem (adet)</t>
        </is>
      </c>
      <c r="H4" s="39" t="inlineStr">
        <is>
          <t>% — 2024 tabanı (3.065.872)</t>
        </is>
      </c>
      <c r="I4" s="39" t="inlineStr">
        <is>
          <t>% — o yılki toplam</t>
        </is>
      </c>
      <c r="J4" s="39" t="inlineStr">
        <is>
          <t>% — arsa segmenti</t>
        </is>
      </c>
    </row>
    <row r="5" ht="15" customHeight="1" s="26">
      <c r="A5" s="40" t="n">
        <v>2026</v>
      </c>
      <c r="B5" s="33">
        <f>Varsayımlar!$B$5*(1+Varsayımlar!$B$13)^($A5-2024)</f>
        <v/>
      </c>
      <c r="C5" s="33">
        <f>B5*Varsayımlar!$B$8</f>
        <v/>
      </c>
      <c r="D5" s="41">
        <f>(Varsayımlar!$B$16+(Varsayımlar!$B$17-Varsayımlar!$B$16)*(($A5-2024)/8))*Varsayımlar!$B$19</f>
        <v/>
      </c>
      <c r="E5" s="33">
        <f>C5*D5</f>
        <v/>
      </c>
      <c r="F5" s="42" t="n">
        <v>0.0054</v>
      </c>
      <c r="G5" s="43">
        <f>E5*F5</f>
        <v/>
      </c>
      <c r="H5" s="44">
        <f>G5/Varsayımlar!$B$5</f>
        <v/>
      </c>
      <c r="I5" s="32">
        <f>G5/B5</f>
        <v/>
      </c>
      <c r="J5" s="32">
        <f>G5/C5</f>
        <v/>
      </c>
    </row>
    <row r="6" ht="15" customHeight="1" s="26">
      <c r="A6" s="40" t="n">
        <v>2027</v>
      </c>
      <c r="B6" s="33">
        <f>Varsayımlar!$B$5*(1+Varsayımlar!$B$13)^($A6-2024)</f>
        <v/>
      </c>
      <c r="C6" s="33">
        <f>B6*Varsayımlar!$B$8</f>
        <v/>
      </c>
      <c r="D6" s="41">
        <f>(Varsayımlar!$B$16+(Varsayımlar!$B$17-Varsayımlar!$B$16)*(($A6-2024)/8))*Varsayımlar!$B$19</f>
        <v/>
      </c>
      <c r="E6" s="33">
        <f>C6*D6</f>
        <v/>
      </c>
      <c r="F6" s="42" t="n">
        <v>0.0326</v>
      </c>
      <c r="G6" s="43">
        <f>E6*F6</f>
        <v/>
      </c>
      <c r="H6" s="44">
        <f>G6/Varsayımlar!$B$5</f>
        <v/>
      </c>
      <c r="I6" s="32">
        <f>G6/B6</f>
        <v/>
      </c>
      <c r="J6" s="32">
        <f>G6/C6</f>
        <v/>
      </c>
    </row>
    <row r="7" ht="15" customHeight="1" s="26">
      <c r="A7" s="40" t="n">
        <v>2028</v>
      </c>
      <c r="B7" s="33">
        <f>Varsayımlar!$B$5*(1+Varsayımlar!$B$13)^($A7-2024)</f>
        <v/>
      </c>
      <c r="C7" s="33">
        <f>B7*Varsayımlar!$B$8</f>
        <v/>
      </c>
      <c r="D7" s="41">
        <f>(Varsayımlar!$B$16+(Varsayımlar!$B$17-Varsayımlar!$B$16)*(($A7-2024)/8))*Varsayımlar!$B$19</f>
        <v/>
      </c>
      <c r="E7" s="33">
        <f>C7*D7</f>
        <v/>
      </c>
      <c r="F7" s="42" t="n">
        <v>0.08690000000000001</v>
      </c>
      <c r="G7" s="43">
        <f>E7*F7</f>
        <v/>
      </c>
      <c r="H7" s="44">
        <f>G7/Varsayımlar!$B$5</f>
        <v/>
      </c>
      <c r="I7" s="32">
        <f>G7/B7</f>
        <v/>
      </c>
      <c r="J7" s="32">
        <f>G7/C7</f>
        <v/>
      </c>
    </row>
    <row r="8" ht="15" customHeight="1" s="26">
      <c r="A8" s="40" t="n">
        <v>2029</v>
      </c>
      <c r="B8" s="33">
        <f>Varsayımlar!$B$5*(1+Varsayımlar!$B$13)^($A8-2024)</f>
        <v/>
      </c>
      <c r="C8" s="33">
        <f>B8*Varsayımlar!$B$8</f>
        <v/>
      </c>
      <c r="D8" s="41">
        <f>(Varsayımlar!$B$16+(Varsayımlar!$B$17-Varsayımlar!$B$16)*(($A8-2024)/8))*Varsayımlar!$B$19</f>
        <v/>
      </c>
      <c r="E8" s="33">
        <f>C8*D8</f>
        <v/>
      </c>
      <c r="F8" s="42" t="n">
        <v>0.1737</v>
      </c>
      <c r="G8" s="43">
        <f>E8*F8</f>
        <v/>
      </c>
      <c r="H8" s="44">
        <f>G8/Varsayımlar!$B$5</f>
        <v/>
      </c>
      <c r="I8" s="32">
        <f>G8/B8</f>
        <v/>
      </c>
      <c r="J8" s="32">
        <f>G8/C8</f>
        <v/>
      </c>
    </row>
    <row r="9" ht="15" customHeight="1" s="26">
      <c r="A9" s="40" t="n">
        <v>2030</v>
      </c>
      <c r="B9" s="33">
        <f>Varsayımlar!$B$5*(1+Varsayımlar!$B$13)^($A9-2024)</f>
        <v/>
      </c>
      <c r="C9" s="33">
        <f>B9*Varsayımlar!$B$8</f>
        <v/>
      </c>
      <c r="D9" s="41">
        <f>(Varsayımlar!$B$16+(Varsayımlar!$B$17-Varsayımlar!$B$16)*(($A9-2024)/8))*Varsayımlar!$B$19</f>
        <v/>
      </c>
      <c r="E9" s="33">
        <f>C9*D9</f>
        <v/>
      </c>
      <c r="F9" s="42" t="n">
        <v>0.2714</v>
      </c>
      <c r="G9" s="43">
        <f>E9*F9</f>
        <v/>
      </c>
      <c r="H9" s="44">
        <f>G9/Varsayımlar!$B$5</f>
        <v/>
      </c>
      <c r="I9" s="32">
        <f>G9/B9</f>
        <v/>
      </c>
      <c r="J9" s="32">
        <f>G9/C9</f>
        <v/>
      </c>
    </row>
    <row r="10" ht="15" customHeight="1" s="26">
      <c r="A10" s="40" t="n">
        <v>2031</v>
      </c>
      <c r="B10" s="33">
        <f>Varsayımlar!$B$5*(1+Varsayımlar!$B$13)^($A10-2024)</f>
        <v/>
      </c>
      <c r="C10" s="33">
        <f>B10*Varsayımlar!$B$8</f>
        <v/>
      </c>
      <c r="D10" s="41">
        <f>(Varsayımlar!$B$16+(Varsayımlar!$B$17-Varsayımlar!$B$16)*(($A10-2024)/8))*Varsayımlar!$B$19</f>
        <v/>
      </c>
      <c r="E10" s="33">
        <f>C10*D10</f>
        <v/>
      </c>
      <c r="F10" s="42" t="n">
        <v>0.3366</v>
      </c>
      <c r="G10" s="43">
        <f>E10*F10</f>
        <v/>
      </c>
      <c r="H10" s="44">
        <f>G10/Varsayımlar!$B$5</f>
        <v/>
      </c>
      <c r="I10" s="32">
        <f>G10/B10</f>
        <v/>
      </c>
      <c r="J10" s="32">
        <f>G10/C10</f>
        <v/>
      </c>
    </row>
    <row r="11" ht="15" customHeight="1" s="26">
      <c r="A11" s="40" t="n">
        <v>2032</v>
      </c>
      <c r="B11" s="33">
        <f>Varsayımlar!$B$5*(1+Varsayımlar!$B$13)^($A11-2024)</f>
        <v/>
      </c>
      <c r="C11" s="33">
        <f>B11*Varsayımlar!$B$8</f>
        <v/>
      </c>
      <c r="D11" s="41">
        <f>(Varsayımlar!$B$16+(Varsayımlar!$B$17-Varsayımlar!$B$16)*(($A11-2024)/8))*Varsayımlar!$B$19</f>
        <v/>
      </c>
      <c r="E11" s="33">
        <f>C11*D11</f>
        <v/>
      </c>
      <c r="F11" s="42" t="n">
        <v>0.38</v>
      </c>
      <c r="G11" s="43">
        <f>E11*F11</f>
        <v/>
      </c>
      <c r="H11" s="44">
        <f>G11/Varsayımlar!$B$5</f>
        <v/>
      </c>
      <c r="I11" s="32">
        <f>G11/B11</f>
        <v/>
      </c>
      <c r="J11" s="32">
        <f>G11/C11</f>
        <v/>
      </c>
    </row>
    <row r="13" ht="15" customHeight="1" s="26">
      <c r="A13" s="28" t="inlineStr">
        <is>
          <t>Not: "Bizim payımız" (yeşil) elle girilen deck-kanonik rampadır → 2032'de %38. 2026 = yazılım ~Ağustos hazır → GTM → H2 soft-launch (%0,5). Mavi hücreler formüldür.</t>
        </is>
      </c>
    </row>
    <row r="14" ht="15" customHeight="1" s="26">
      <c r="A14" s="28" t="inlineStr">
        <is>
          <t>Formül: Bizim işlem = Arsa segmenti × Online penetrasyon × Bizim payımız.   % (2024 tabanı) = Bizim işlem / 3.065.872 (sabit pazar referansı).</t>
        </is>
      </c>
    </row>
  </sheetData>
  <mergeCells count="6">
    <mergeCell ref="A1:J1"/>
    <mergeCell ref="A14:J14"/>
    <mergeCell ref="A3:J3"/>
    <mergeCell ref="A2:G2"/>
    <mergeCell ref="H2:J2"/>
    <mergeCell ref="A13:J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5" min="1" max="1"/>
    <col width="18" customWidth="1" style="25" min="2" max="2"/>
    <col width="16" customWidth="1" style="25" min="3" max="3"/>
    <col width="18" customWidth="1" style="25" min="4" max="4"/>
    <col width="16" customWidth="1" style="25" min="5" max="5"/>
    <col width="18" customWidth="1" style="25" min="6" max="6"/>
    <col width="16" customWidth="1" style="25" min="7" max="7"/>
  </cols>
  <sheetData>
    <row r="1" ht="24" customHeight="1" s="26">
      <c r="A1" s="27" t="inlineStr">
        <is>
          <t>Senaryo Bandı — 3.065.872 tabanının hedef payı (2026 → 2032)</t>
        </is>
      </c>
    </row>
    <row r="2" ht="15" customHeight="1" s="26">
      <c r="A2" s="28" t="inlineStr">
        <is>
          <t>Senaryolar online penetrasyon hızında ayrışır; payımız her senaryoda %38'e ulaşır. Tüm hücreler formül (mavi).</t>
        </is>
      </c>
    </row>
    <row r="4" ht="15" customHeight="1" s="26">
      <c r="B4" s="45" t="inlineStr">
        <is>
          <t>Kötümser</t>
        </is>
      </c>
      <c r="D4" s="45" t="inlineStr">
        <is>
          <t>Medyan</t>
        </is>
      </c>
      <c r="F4" s="45" t="inlineStr">
        <is>
          <t>İyimser</t>
        </is>
      </c>
    </row>
    <row r="5" ht="15" customHeight="1" s="26">
      <c r="A5" s="46" t="inlineStr">
        <is>
          <t>Yıl</t>
        </is>
      </c>
      <c r="B5" s="46" t="inlineStr">
        <is>
          <t>İşlem (adet)</t>
        </is>
      </c>
      <c r="C5" s="46" t="inlineStr">
        <is>
          <t>% taban</t>
        </is>
      </c>
      <c r="D5" s="46" t="inlineStr">
        <is>
          <t>İşlem (adet)</t>
        </is>
      </c>
      <c r="E5" s="46" t="inlineStr">
        <is>
          <t>% taban</t>
        </is>
      </c>
      <c r="F5" s="46" t="inlineStr">
        <is>
          <t>İşlem (adet)</t>
        </is>
      </c>
      <c r="G5" s="46" t="inlineStr">
        <is>
          <t>% taban</t>
        </is>
      </c>
    </row>
    <row r="6" ht="15" customHeight="1" s="26">
      <c r="A6" s="40" t="n">
        <v>2026</v>
      </c>
      <c r="B6" s="33">
        <f>'Yıllık Hedef Planı'!G5*(Varsayımlar!$B$18/Varsayımlar!$B$19)</f>
        <v/>
      </c>
      <c r="C6" s="32">
        <f>B6/Varsayımlar!$B$5</f>
        <v/>
      </c>
      <c r="D6" s="33">
        <f>'Yıllık Hedef Planı'!G5*(Varsayımlar!$B$19/Varsayımlar!$B$19)</f>
        <v/>
      </c>
      <c r="E6" s="32">
        <f>D6/Varsayımlar!$B$5</f>
        <v/>
      </c>
      <c r="F6" s="33">
        <f>'Yıllık Hedef Planı'!G5*(Varsayımlar!$B$20/Varsayımlar!$B$19)</f>
        <v/>
      </c>
      <c r="G6" s="32">
        <f>F6/Varsayımlar!$B$5</f>
        <v/>
      </c>
    </row>
    <row r="7" ht="15" customHeight="1" s="26">
      <c r="A7" s="40" t="n">
        <v>2027</v>
      </c>
      <c r="B7" s="33">
        <f>'Yıllık Hedef Planı'!G6*(Varsayımlar!$B$18/Varsayımlar!$B$19)</f>
        <v/>
      </c>
      <c r="C7" s="32">
        <f>B7/Varsayımlar!$B$5</f>
        <v/>
      </c>
      <c r="D7" s="33">
        <f>'Yıllık Hedef Planı'!G6*(Varsayımlar!$B$19/Varsayımlar!$B$19)</f>
        <v/>
      </c>
      <c r="E7" s="32">
        <f>D7/Varsayımlar!$B$5</f>
        <v/>
      </c>
      <c r="F7" s="33">
        <f>'Yıllık Hedef Planı'!G6*(Varsayımlar!$B$20/Varsayımlar!$B$19)</f>
        <v/>
      </c>
      <c r="G7" s="32">
        <f>F7/Varsayımlar!$B$5</f>
        <v/>
      </c>
    </row>
    <row r="8" ht="15" customHeight="1" s="26">
      <c r="A8" s="40" t="n">
        <v>2028</v>
      </c>
      <c r="B8" s="33">
        <f>'Yıllık Hedef Planı'!G7*(Varsayımlar!$B$18/Varsayımlar!$B$19)</f>
        <v/>
      </c>
      <c r="C8" s="32">
        <f>B8/Varsayımlar!$B$5</f>
        <v/>
      </c>
      <c r="D8" s="33">
        <f>'Yıllık Hedef Planı'!G7*(Varsayımlar!$B$19/Varsayımlar!$B$19)</f>
        <v/>
      </c>
      <c r="E8" s="32">
        <f>D8/Varsayımlar!$B$5</f>
        <v/>
      </c>
      <c r="F8" s="33">
        <f>'Yıllık Hedef Planı'!G7*(Varsayımlar!$B$20/Varsayımlar!$B$19)</f>
        <v/>
      </c>
      <c r="G8" s="32">
        <f>F8/Varsayımlar!$B$5</f>
        <v/>
      </c>
    </row>
    <row r="9" ht="15" customHeight="1" s="26">
      <c r="A9" s="40" t="n">
        <v>2029</v>
      </c>
      <c r="B9" s="33">
        <f>'Yıllık Hedef Planı'!G8*(Varsayımlar!$B$18/Varsayımlar!$B$19)</f>
        <v/>
      </c>
      <c r="C9" s="32">
        <f>B9/Varsayımlar!$B$5</f>
        <v/>
      </c>
      <c r="D9" s="33">
        <f>'Yıllık Hedef Planı'!G8*(Varsayımlar!$B$19/Varsayımlar!$B$19)</f>
        <v/>
      </c>
      <c r="E9" s="32">
        <f>D9/Varsayımlar!$B$5</f>
        <v/>
      </c>
      <c r="F9" s="33">
        <f>'Yıllık Hedef Planı'!G8*(Varsayımlar!$B$20/Varsayımlar!$B$19)</f>
        <v/>
      </c>
      <c r="G9" s="32">
        <f>F9/Varsayımlar!$B$5</f>
        <v/>
      </c>
    </row>
    <row r="10" ht="15" customHeight="1" s="26">
      <c r="A10" s="40" t="n">
        <v>2030</v>
      </c>
      <c r="B10" s="33">
        <f>'Yıllık Hedef Planı'!G9*(Varsayımlar!$B$18/Varsayımlar!$B$19)</f>
        <v/>
      </c>
      <c r="C10" s="32">
        <f>B10/Varsayımlar!$B$5</f>
        <v/>
      </c>
      <c r="D10" s="33">
        <f>'Yıllık Hedef Planı'!G9*(Varsayımlar!$B$19/Varsayımlar!$B$19)</f>
        <v/>
      </c>
      <c r="E10" s="32">
        <f>D10/Varsayımlar!$B$5</f>
        <v/>
      </c>
      <c r="F10" s="33">
        <f>'Yıllık Hedef Planı'!G9*(Varsayımlar!$B$20/Varsayımlar!$B$19)</f>
        <v/>
      </c>
      <c r="G10" s="32">
        <f>F10/Varsayımlar!$B$5</f>
        <v/>
      </c>
    </row>
    <row r="11" ht="15" customHeight="1" s="26">
      <c r="A11" s="40" t="n">
        <v>2031</v>
      </c>
      <c r="B11" s="33">
        <f>'Yıllık Hedef Planı'!G10*(Varsayımlar!$B$18/Varsayımlar!$B$19)</f>
        <v/>
      </c>
      <c r="C11" s="32">
        <f>B11/Varsayımlar!$B$5</f>
        <v/>
      </c>
      <c r="D11" s="33">
        <f>'Yıllık Hedef Planı'!G10*(Varsayımlar!$B$19/Varsayımlar!$B$19)</f>
        <v/>
      </c>
      <c r="E11" s="32">
        <f>D11/Varsayımlar!$B$5</f>
        <v/>
      </c>
      <c r="F11" s="33">
        <f>'Yıllık Hedef Planı'!G10*(Varsayımlar!$B$20/Varsayımlar!$B$19)</f>
        <v/>
      </c>
      <c r="G11" s="32">
        <f>F11/Varsayımlar!$B$5</f>
        <v/>
      </c>
    </row>
    <row r="12" ht="15" customHeight="1" s="26">
      <c r="A12" s="40" t="n">
        <v>2032</v>
      </c>
      <c r="B12" s="33">
        <f>'Yıllık Hedef Planı'!G11*(Varsayımlar!$B$18/Varsayımlar!$B$19)</f>
        <v/>
      </c>
      <c r="C12" s="32">
        <f>B12/Varsayımlar!$B$5</f>
        <v/>
      </c>
      <c r="D12" s="33">
        <f>'Yıllık Hedef Planı'!G11*(Varsayımlar!$B$19/Varsayımlar!$B$19)</f>
        <v/>
      </c>
      <c r="E12" s="32">
        <f>D12/Varsayımlar!$B$5</f>
        <v/>
      </c>
      <c r="F12" s="33">
        <f>'Yıllık Hedef Planı'!G11*(Varsayımlar!$B$20/Varsayımlar!$B$19)</f>
        <v/>
      </c>
      <c r="G12" s="32">
        <f>F12/Varsayımlar!$B$5</f>
        <v/>
      </c>
    </row>
    <row r="14" ht="15" customHeight="1" s="26">
      <c r="A14" s="28" t="inlineStr">
        <is>
          <t>2032 satırı = nihai hedef bandı. Medyan ≈ plan; kötümser/iyimser yalnızca online penetrasyon hızıyla ayrışır.</t>
        </is>
      </c>
    </row>
  </sheetData>
  <mergeCells count="6">
    <mergeCell ref="F4:G4"/>
    <mergeCell ref="A14:G14"/>
    <mergeCell ref="A1:G1"/>
    <mergeCell ref="A2:G2"/>
    <mergeCell ref="D4:E4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5" min="1" max="3"/>
    <col width="24" customWidth="1" style="25" min="4" max="4"/>
  </cols>
  <sheetData>
    <row r="1" ht="24" customHeight="1" s="26">
      <c r="A1" s="27" t="inlineStr">
        <is>
          <t>Gelir Köprüsü — işlem hedefi ↔ gelir hedefi (2032)</t>
        </is>
      </c>
    </row>
    <row r="2" ht="15" customHeight="1" s="26">
      <c r="A2" s="28" t="inlineStr">
        <is>
          <t>Hedeflenen işlem adedi, deck'teki gelir hedefiyle tutarlı mı? Tüm değerler formül (mavi).</t>
        </is>
      </c>
    </row>
    <row r="4" ht="33.75" customHeight="1" s="26">
      <c r="A4" s="39" t="inlineStr">
        <is>
          <t>Senaryo</t>
        </is>
      </c>
      <c r="B4" s="39" t="inlineStr">
        <is>
          <t>2032 gelir hedefi (₺)</t>
        </is>
      </c>
      <c r="C4" s="39" t="inlineStr">
        <is>
          <t>2032 hedef işlem (adet)</t>
        </is>
      </c>
      <c r="D4" s="39" t="inlineStr">
        <is>
          <t>İşlem başına ima edilen gelir (₺)</t>
        </is>
      </c>
    </row>
    <row r="5" ht="15" customHeight="1" s="26">
      <c r="A5" s="47" t="inlineStr">
        <is>
          <t>Kötümser</t>
        </is>
      </c>
      <c r="B5" s="48">
        <f>Varsayımlar!$B$23</f>
        <v/>
      </c>
      <c r="C5" s="33">
        <f>'Senaryo Bandı'!B12</f>
        <v/>
      </c>
      <c r="D5" s="49">
        <f>B5/C5</f>
        <v/>
      </c>
    </row>
    <row r="6" ht="15" customHeight="1" s="26">
      <c r="A6" s="47" t="inlineStr">
        <is>
          <t>Medyan</t>
        </is>
      </c>
      <c r="B6" s="48">
        <f>Varsayımlar!$B$24</f>
        <v/>
      </c>
      <c r="C6" s="33">
        <f>'Senaryo Bandı'!D12</f>
        <v/>
      </c>
      <c r="D6" s="49">
        <f>B6/C6</f>
        <v/>
      </c>
    </row>
    <row r="7" ht="15" customHeight="1" s="26">
      <c r="A7" s="47" t="inlineStr">
        <is>
          <t>İyimser</t>
        </is>
      </c>
      <c r="B7" s="48">
        <f>Varsayımlar!$B$25</f>
        <v/>
      </c>
      <c r="C7" s="33">
        <f>'Senaryo Bandı'!F12</f>
        <v/>
      </c>
      <c r="D7" s="49">
        <f>B7/C7</f>
        <v/>
      </c>
    </row>
    <row r="9" ht="15" customHeight="1" s="26">
      <c r="A9" s="28" t="inlineStr">
        <is>
          <t>Yorum: Medyan senaryoda işlem başına ima edilen gelir, çok-akışlı modelle (ilan + ParselQ-RFQ + emlakçı + veri + reklam + SaaS + hizmet) tutarlıdır.</t>
        </is>
      </c>
    </row>
  </sheetData>
  <mergeCells count="3">
    <mergeCell ref="A1:D1"/>
    <mergeCell ref="A9:D9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2026-06-22T10:16:58Z</dcterms:created>
  <dcterms:modified xmlns:dcterms="http://purl.org/dc/terms/" xmlns:xsi="http://www.w3.org/2001/XMLSchema-instance" xsi:type="dcterms:W3CDTF">2026-06-24T08:10:30Z</dcterms:modified>
  <cp:revision>0</cp:revision>
</cp:coreProperties>
</file>